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J872NS\OneDrive - EY\Desktop\VIT_Report\"/>
    </mc:Choice>
  </mc:AlternateContent>
  <xr:revisionPtr revIDLastSave="0" documentId="13_ncr:1_{8F64D298-465C-4FD6-A0B6-36B69274486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uide" sheetId="1" r:id="rId1"/>
    <sheet name="Dashboard" sheetId="2" r:id="rId2"/>
    <sheet name="Monthly Summary" sheetId="3" r:id="rId3"/>
    <sheet name="Expense Log" sheetId="4" r:id="rId4"/>
    <sheet name="Income Log" sheetId="5" r:id="rId5"/>
    <sheet name="Category Analysis" sheetId="6" r:id="rId6"/>
    <sheet name="Savings Goals" sheetId="7" r:id="rId7"/>
    <sheet name="Annual Overview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8" l="1"/>
  <c r="C16" i="8"/>
  <c r="F16" i="8" s="1"/>
  <c r="D15" i="8"/>
  <c r="C15" i="8"/>
  <c r="F15" i="8" s="1"/>
  <c r="F14" i="8"/>
  <c r="D14" i="8"/>
  <c r="E14" i="8" s="1"/>
  <c r="C14" i="8"/>
  <c r="D13" i="8"/>
  <c r="C13" i="8"/>
  <c r="F13" i="8" s="1"/>
  <c r="D12" i="8"/>
  <c r="C12" i="8"/>
  <c r="F12" i="8" s="1"/>
  <c r="F11" i="8"/>
  <c r="D11" i="8"/>
  <c r="E11" i="8" s="1"/>
  <c r="C11" i="8"/>
  <c r="D10" i="8"/>
  <c r="C10" i="8"/>
  <c r="F9" i="8"/>
  <c r="D9" i="8"/>
  <c r="C9" i="8"/>
  <c r="D8" i="8"/>
  <c r="C8" i="8"/>
  <c r="F8" i="8" s="1"/>
  <c r="D7" i="8"/>
  <c r="C7" i="8"/>
  <c r="D6" i="8"/>
  <c r="E6" i="8" s="1"/>
  <c r="F6" i="8" s="1"/>
  <c r="C6" i="8"/>
  <c r="D5" i="8"/>
  <c r="C5" i="8"/>
  <c r="F15" i="7"/>
  <c r="D15" i="7"/>
  <c r="C15" i="7"/>
  <c r="H14" i="7"/>
  <c r="F14" i="7"/>
  <c r="E14" i="7"/>
  <c r="H13" i="7"/>
  <c r="F13" i="7"/>
  <c r="E13" i="7"/>
  <c r="H12" i="7"/>
  <c r="F12" i="7"/>
  <c r="E12" i="7"/>
  <c r="H11" i="7"/>
  <c r="F11" i="7"/>
  <c r="E11" i="7"/>
  <c r="H10" i="7"/>
  <c r="F10" i="7"/>
  <c r="E10" i="7"/>
  <c r="H9" i="7"/>
  <c r="F9" i="7"/>
  <c r="E9" i="7"/>
  <c r="H8" i="7"/>
  <c r="F8" i="7"/>
  <c r="E8" i="7"/>
  <c r="H7" i="7"/>
  <c r="F7" i="7"/>
  <c r="E7" i="7"/>
  <c r="H6" i="7"/>
  <c r="F6" i="7"/>
  <c r="E6" i="7"/>
  <c r="H5" i="7"/>
  <c r="F5" i="7"/>
  <c r="E5" i="7"/>
  <c r="E15" i="7" s="1"/>
  <c r="D16" i="6"/>
  <c r="C16" i="6"/>
  <c r="E16" i="6" s="1"/>
  <c r="C15" i="6"/>
  <c r="E15" i="6" s="1"/>
  <c r="C14" i="6"/>
  <c r="D14" i="6" s="1"/>
  <c r="C13" i="6"/>
  <c r="E13" i="6" s="1"/>
  <c r="C12" i="6"/>
  <c r="E12" i="6" s="1"/>
  <c r="C11" i="6"/>
  <c r="E11" i="6" s="1"/>
  <c r="C10" i="6"/>
  <c r="E10" i="6" s="1"/>
  <c r="C9" i="6"/>
  <c r="E9" i="6" s="1"/>
  <c r="C8" i="6"/>
  <c r="E8" i="6" s="1"/>
  <c r="C7" i="6"/>
  <c r="D7" i="6" s="1"/>
  <c r="C6" i="6"/>
  <c r="D6" i="6" s="1"/>
  <c r="C5" i="6"/>
  <c r="E5" i="6" s="1"/>
  <c r="E2" i="5"/>
  <c r="E2" i="4"/>
  <c r="N26" i="3"/>
  <c r="M26" i="3"/>
  <c r="L26" i="3"/>
  <c r="K26" i="3"/>
  <c r="J26" i="3"/>
  <c r="I26" i="3"/>
  <c r="H26" i="3"/>
  <c r="G26" i="3"/>
  <c r="F26" i="3"/>
  <c r="E26" i="3"/>
  <c r="D26" i="3"/>
  <c r="C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M12" i="3"/>
  <c r="E12" i="3"/>
  <c r="N11" i="3"/>
  <c r="M11" i="3"/>
  <c r="L11" i="3"/>
  <c r="K11" i="3"/>
  <c r="J11" i="3"/>
  <c r="I11" i="3"/>
  <c r="H11" i="3"/>
  <c r="G11" i="3"/>
  <c r="F11" i="3"/>
  <c r="E11" i="3"/>
  <c r="D11" i="3"/>
  <c r="C11" i="3"/>
  <c r="O11" i="3" s="1"/>
  <c r="N10" i="3"/>
  <c r="M10" i="3"/>
  <c r="L10" i="3"/>
  <c r="K10" i="3"/>
  <c r="J10" i="3"/>
  <c r="I10" i="3"/>
  <c r="H10" i="3"/>
  <c r="G10" i="3"/>
  <c r="O10" i="3" s="1"/>
  <c r="F10" i="3"/>
  <c r="E10" i="3"/>
  <c r="D10" i="3"/>
  <c r="C10" i="3"/>
  <c r="N9" i="3"/>
  <c r="M9" i="3"/>
  <c r="L9" i="3"/>
  <c r="K9" i="3"/>
  <c r="J9" i="3"/>
  <c r="I9" i="3"/>
  <c r="H9" i="3"/>
  <c r="G9" i="3"/>
  <c r="F9" i="3"/>
  <c r="E9" i="3"/>
  <c r="D9" i="3"/>
  <c r="O9" i="3" s="1"/>
  <c r="C9" i="3"/>
  <c r="N8" i="3"/>
  <c r="M8" i="3"/>
  <c r="L8" i="3"/>
  <c r="K8" i="3"/>
  <c r="J8" i="3"/>
  <c r="I8" i="3"/>
  <c r="H8" i="3"/>
  <c r="G8" i="3"/>
  <c r="F8" i="3"/>
  <c r="E8" i="3"/>
  <c r="D8" i="3"/>
  <c r="C8" i="3"/>
  <c r="O8" i="3" s="1"/>
  <c r="N7" i="3"/>
  <c r="N12" i="3" s="1"/>
  <c r="M7" i="3"/>
  <c r="L7" i="3"/>
  <c r="K7" i="3"/>
  <c r="J7" i="3"/>
  <c r="J12" i="3" s="1"/>
  <c r="I7" i="3"/>
  <c r="I12" i="3" s="1"/>
  <c r="H7" i="3"/>
  <c r="H12" i="3" s="1"/>
  <c r="G7" i="3"/>
  <c r="G12" i="3" s="1"/>
  <c r="F7" i="3"/>
  <c r="F12" i="3" s="1"/>
  <c r="E7" i="3"/>
  <c r="D7" i="3"/>
  <c r="C7" i="3"/>
  <c r="N6" i="3"/>
  <c r="M6" i="3"/>
  <c r="L6" i="3"/>
  <c r="L12" i="3" s="1"/>
  <c r="K6" i="3"/>
  <c r="K12" i="3" s="1"/>
  <c r="J6" i="3"/>
  <c r="I6" i="3"/>
  <c r="H6" i="3"/>
  <c r="G6" i="3"/>
  <c r="F6" i="3"/>
  <c r="E6" i="3"/>
  <c r="D6" i="3"/>
  <c r="D12" i="3" s="1"/>
  <c r="C6" i="3"/>
  <c r="C12" i="3" s="1"/>
  <c r="D23" i="2"/>
  <c r="C23" i="2"/>
  <c r="D22" i="2"/>
  <c r="E22" i="2" s="1"/>
  <c r="C22" i="2"/>
  <c r="D21" i="2"/>
  <c r="C21" i="2"/>
  <c r="D20" i="2"/>
  <c r="C20" i="2"/>
  <c r="D19" i="2"/>
  <c r="E19" i="2" s="1"/>
  <c r="C19" i="2"/>
  <c r="D18" i="2"/>
  <c r="C18" i="2"/>
  <c r="D17" i="2"/>
  <c r="C17" i="2"/>
  <c r="D16" i="2"/>
  <c r="C16" i="2"/>
  <c r="D15" i="2"/>
  <c r="C15" i="2"/>
  <c r="D14" i="2"/>
  <c r="E14" i="2" s="1"/>
  <c r="C14" i="2"/>
  <c r="D13" i="2"/>
  <c r="C13" i="2"/>
  <c r="D12" i="2"/>
  <c r="C12" i="2"/>
  <c r="E6" i="2"/>
  <c r="D6" i="2"/>
  <c r="C6" i="2"/>
  <c r="B6" i="2"/>
  <c r="E16" i="2" l="1"/>
  <c r="E15" i="2"/>
  <c r="D9" i="6"/>
  <c r="E12" i="2"/>
  <c r="H27" i="3"/>
  <c r="H29" i="3" s="1"/>
  <c r="D27" i="3"/>
  <c r="D29" i="3" s="1"/>
  <c r="D30" i="3" s="1"/>
  <c r="L27" i="3"/>
  <c r="L29" i="3" s="1"/>
  <c r="E20" i="2"/>
  <c r="E27" i="3"/>
  <c r="E29" i="3" s="1"/>
  <c r="E30" i="3" s="1"/>
  <c r="M27" i="3"/>
  <c r="E13" i="2"/>
  <c r="E17" i="2"/>
  <c r="E18" i="2"/>
  <c r="D24" i="2"/>
  <c r="E21" i="2"/>
  <c r="O16" i="3"/>
  <c r="O21" i="3"/>
  <c r="O22" i="3"/>
  <c r="O24" i="3"/>
  <c r="E6" i="6"/>
  <c r="D17" i="8"/>
  <c r="E9" i="8"/>
  <c r="O20" i="3"/>
  <c r="I27" i="3"/>
  <c r="I29" i="3" s="1"/>
  <c r="F27" i="3"/>
  <c r="F29" i="3" s="1"/>
  <c r="N27" i="3"/>
  <c r="O18" i="3"/>
  <c r="J27" i="3"/>
  <c r="J29" i="3" s="1"/>
  <c r="O26" i="3"/>
  <c r="E14" i="6"/>
  <c r="O23" i="3"/>
  <c r="E23" i="2"/>
  <c r="G27" i="3"/>
  <c r="G29" i="3" s="1"/>
  <c r="C27" i="3"/>
  <c r="C29" i="3" s="1"/>
  <c r="C30" i="3" s="1"/>
  <c r="K27" i="3"/>
  <c r="K29" i="3" s="1"/>
  <c r="O19" i="3"/>
  <c r="O25" i="3"/>
  <c r="E10" i="8"/>
  <c r="I30" i="3"/>
  <c r="K30" i="3"/>
  <c r="H30" i="3"/>
  <c r="F30" i="3"/>
  <c r="G30" i="3"/>
  <c r="L30" i="3"/>
  <c r="M29" i="3"/>
  <c r="N30" i="3"/>
  <c r="N29" i="3"/>
  <c r="J30" i="3"/>
  <c r="O7" i="3"/>
  <c r="D12" i="6"/>
  <c r="E16" i="8"/>
  <c r="E7" i="6"/>
  <c r="O6" i="3"/>
  <c r="O12" i="3" s="1"/>
  <c r="D5" i="6"/>
  <c r="D13" i="6"/>
  <c r="D8" i="6"/>
  <c r="E7" i="8"/>
  <c r="F7" i="8" s="1"/>
  <c r="F10" i="8"/>
  <c r="E15" i="8"/>
  <c r="C17" i="8"/>
  <c r="C24" i="8"/>
  <c r="E8" i="8"/>
  <c r="D10" i="6"/>
  <c r="O17" i="3"/>
  <c r="C23" i="8"/>
  <c r="C24" i="2"/>
  <c r="M30" i="3"/>
  <c r="D11" i="6"/>
  <c r="E12" i="8"/>
  <c r="D15" i="6"/>
  <c r="E5" i="8"/>
  <c r="F5" i="8" s="1"/>
  <c r="E13" i="8"/>
  <c r="O27" i="3" l="1"/>
  <c r="O29" i="3" s="1"/>
  <c r="O30" i="3" s="1"/>
  <c r="E24" i="2"/>
  <c r="E17" i="8"/>
  <c r="C26" i="8" s="1"/>
  <c r="C21" i="8"/>
  <c r="C25" i="8"/>
  <c r="C22" i="8"/>
  <c r="G5" i="8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F17" i="8" l="1"/>
</calcChain>
</file>

<file path=xl/sharedStrings.xml><?xml version="1.0" encoding="utf-8"?>
<sst xmlns="http://schemas.openxmlformats.org/spreadsheetml/2006/main" count="349" uniqueCount="213">
  <si>
    <t>PERSONAL BUDGET TRACKER  |  2024</t>
  </si>
  <si>
    <t>All totals update automatically when you log data in Expense Log or Income Log</t>
  </si>
  <si>
    <t>HOW THIS TRACKER WORKS</t>
  </si>
  <si>
    <t>Step 1</t>
  </si>
  <si>
    <t>Open EXPENSE LOG. Add one row per expense: Date, Description, Category, Amount.</t>
  </si>
  <si>
    <t>Step 2</t>
  </si>
  <si>
    <t>Open INCOME LOG. Add one row per payment received: Date, Description, Source, Amount.</t>
  </si>
  <si>
    <t>Step 3</t>
  </si>
  <si>
    <t>That is all. Every other sheet calculates automatically from your log entries.</t>
  </si>
  <si>
    <t>Step 4</t>
  </si>
  <si>
    <t>Check MONTHLY SUMMARY for income vs expenses per month - fully automatic.</t>
  </si>
  <si>
    <t>Step 5</t>
  </si>
  <si>
    <t>Check CATEGORY ANALYSIS to see where your money goes.</t>
  </si>
  <si>
    <t>Step 6</t>
  </si>
  <si>
    <t>Check DASHBOARD for a quick year-to-date health check.</t>
  </si>
  <si>
    <t>SHEETS IN THIS WORKBOOK</t>
  </si>
  <si>
    <t>Guide</t>
  </si>
  <si>
    <t>This page.</t>
  </si>
  <si>
    <t>Dashboard</t>
  </si>
  <si>
    <t>Live KPI cards - total income, expenses, savings, savings rate for the year.</t>
  </si>
  <si>
    <t>Monthly Summary</t>
  </si>
  <si>
    <t>Income and expenses by month and category. SUMIFS formulas - add to logs and this updates.</t>
  </si>
  <si>
    <t>Expense Log</t>
  </si>
  <si>
    <t>MAIN DATA ENTRY for expenses. Add a new row for every expense.</t>
  </si>
  <si>
    <t>Income Log</t>
  </si>
  <si>
    <t>MAIN DATA ENTRY for income. Add a new row for every payment received.</t>
  </si>
  <si>
    <t>Category Analysis</t>
  </si>
  <si>
    <t>Annual totals and % breakdown by spending category. Auto-calculated.</t>
  </si>
  <si>
    <t>Savings Goals</t>
  </si>
  <si>
    <t>Set up to 10 goals. Update the Saved So Far column periodically.</t>
  </si>
  <si>
    <t>Annual Overview</t>
  </si>
  <si>
    <t>Month-by-month totals, running savings balance, key stats.</t>
  </si>
  <si>
    <t>RULES</t>
  </si>
  <si>
    <t>DO</t>
  </si>
  <si>
    <t>Enter data only in the WHITE cells in Expense Log and Income Log.</t>
  </si>
  <si>
    <t>Use the dropdown lists for Category and Source - exact spelling is critical for formulas.</t>
  </si>
  <si>
    <t>Enter dates in the format YYYY-MM-DD (example: 2024-01-15).</t>
  </si>
  <si>
    <t>Save regularly with Ctrl + S. Keep a backup copy.</t>
  </si>
  <si>
    <t>DO NOT</t>
  </si>
  <si>
    <t>Delete or rename any sheet tabs.</t>
  </si>
  <si>
    <t>Delete header rows (rows 1 to 4 on any sheet).</t>
  </si>
  <si>
    <t>Edit any coloured formula cells outside the log sheets.</t>
  </si>
  <si>
    <t>EXPENSE CATEGORIES - use exactly as shown below</t>
  </si>
  <si>
    <t>Housing</t>
  </si>
  <si>
    <t>Enter this exact text in the Category column of Expense Log.</t>
  </si>
  <si>
    <t>Food and Groceries</t>
  </si>
  <si>
    <t>Transport</t>
  </si>
  <si>
    <t>Health and Medical</t>
  </si>
  <si>
    <t>Education</t>
  </si>
  <si>
    <t>Shopping</t>
  </si>
  <si>
    <t>Subscriptions</t>
  </si>
  <si>
    <t>Entertainment</t>
  </si>
  <si>
    <t>Travel</t>
  </si>
  <si>
    <t>Savings and Investments</t>
  </si>
  <si>
    <t>Miscellaneous</t>
  </si>
  <si>
    <t>INCOME SOURCES - use exactly as shown below</t>
  </si>
  <si>
    <t>Salary</t>
  </si>
  <si>
    <t>Enter this exact text in the Source column of Income Log.</t>
  </si>
  <si>
    <t>Freelance</t>
  </si>
  <si>
    <t>Rental Income</t>
  </si>
  <si>
    <t>Dividends</t>
  </si>
  <si>
    <t>Bonus</t>
  </si>
  <si>
    <t>Other Income</t>
  </si>
  <si>
    <t>TIPS</t>
  </si>
  <si>
    <t>Tip 1</t>
  </si>
  <si>
    <t>Log expenses daily - 2 minutes a day prevents hours of catching up later.</t>
  </si>
  <si>
    <t>Tip 2</t>
  </si>
  <si>
    <t>Check Category Analysis every month to spot overspending.</t>
  </si>
  <si>
    <t>Tip 3</t>
  </si>
  <si>
    <t>Set Emergency Fund as your first savings goal. Target 3 to 6 months of expenses.</t>
  </si>
  <si>
    <t>Budget Tracker v2  |  2024  |  Data entry only in Expense Log and Income Log</t>
  </si>
  <si>
    <t>BUDGET DASHBOARD  |  2024</t>
  </si>
  <si>
    <t>All figures are year-to-date, calculated live from Expense Log and Income Log</t>
  </si>
  <si>
    <t>Total Income (YTD)</t>
  </si>
  <si>
    <t>Total Expenses (YTD)</t>
  </si>
  <si>
    <t>Net Savings (YTD)</t>
  </si>
  <si>
    <t>Savings Rate</t>
  </si>
  <si>
    <t xml:space="preserve">  MONTHLY BREAKDOWN  (auto-calculated)</t>
  </si>
  <si>
    <t>Month</t>
  </si>
  <si>
    <t>Income</t>
  </si>
  <si>
    <t>Expenses</t>
  </si>
  <si>
    <t>Net Savings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</si>
  <si>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</si>
  <si>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</si>
  <si>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</si>
  <si>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</si>
  <si>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</si>
  <si>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</si>
  <si>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</si>
  <si>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</si>
  <si>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</si>
  <si>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</si>
  <si>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</si>
  <si>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</si>
  <si>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TOTAL</t>
  </si>
  <si>
    <t>MONTHLY SUMMARY  |  2024  -  Adds up automatically from Expense Log and Income Log</t>
  </si>
  <si>
    <t>Add rows to Expense Log or Income Log and this sheet updates instantly. Do not type in any coloured cell here.</t>
  </si>
  <si>
    <t xml:space="preserve">  INCOME  -  add rows to Income Log to update</t>
  </si>
  <si>
    <t>Income Source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</si>
  <si>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</si>
  <si>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</si>
  <si>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</si>
  <si>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</si>
  <si>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</si>
  <si>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</si>
  <si>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</si>
  <si>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</si>
  <si>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</si>
  <si>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</si>
  <si>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</si>
  <si>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Annual Total</t>
  </si>
  <si>
    <t>TOTAL INCOME</t>
  </si>
  <si>
    <t xml:space="preserve">  EXPENSES  -  add rows to Expense Log to update</t>
  </si>
  <si>
    <t>Category</t>
  </si>
  <si>
    <t>TOTAL EXPENSES</t>
  </si>
  <si>
    <t>NET SAVINGS</t>
  </si>
  <si>
    <t>SAVINGS RATE</t>
  </si>
  <si>
    <t>EXPENSE LOG  -  Enter every expense here</t>
  </si>
  <si>
    <t>Total Expenses Logged:</t>
  </si>
  <si>
    <t>Date format: 2024-MM-DD  |  Use dropdown for Category  |  Amount in numbers only (no symbols or commas)</t>
  </si>
  <si>
    <t>Date</t>
  </si>
  <si>
    <t>Description</t>
  </si>
  <si>
    <t>Amount</t>
  </si>
  <si>
    <t>Payment Method</t>
  </si>
  <si>
    <t>Notes</t>
  </si>
  <si>
    <t>Monthly rent</t>
  </si>
  <si>
    <t>Net Banking</t>
  </si>
  <si>
    <t>Swiggy dinner</t>
  </si>
  <si>
    <t>UPI GPay</t>
  </si>
  <si>
    <t>Metro card recharge</t>
  </si>
  <si>
    <t>Monthly pass</t>
  </si>
  <si>
    <t>Big Basket groceries</t>
  </si>
  <si>
    <t>Credit Card</t>
  </si>
  <si>
    <t>Netflix subscription</t>
  </si>
  <si>
    <t>Auto-Debit</t>
  </si>
  <si>
    <t>Petrol</t>
  </si>
  <si>
    <t>Debit Card</t>
  </si>
  <si>
    <t>Doctor consultation</t>
  </si>
  <si>
    <t>Cash</t>
  </si>
  <si>
    <t>Udemy Python course</t>
  </si>
  <si>
    <t>SIP NIFTY 50</t>
  </si>
  <si>
    <t>Index fund</t>
  </si>
  <si>
    <t>Movie tickets x2</t>
  </si>
  <si>
    <t>Grocery store</t>
  </si>
  <si>
    <t>Emergency fund SIP</t>
  </si>
  <si>
    <t>T-shirts x3</t>
  </si>
  <si>
    <t>INCOME LOG  -  Enter every payment received here</t>
  </si>
  <si>
    <t>Total Income Logged:</t>
  </si>
  <si>
    <t>Date format: 2024-MM-DD  |  Use dropdown for Source  |  Amount in numbers only</t>
  </si>
  <si>
    <t>Source</t>
  </si>
  <si>
    <t>Account</t>
  </si>
  <si>
    <t>January salary</t>
  </si>
  <si>
    <t>HDFC Bank</t>
  </si>
  <si>
    <t>Monthly salary</t>
  </si>
  <si>
    <t>Fiverr logo design</t>
  </si>
  <si>
    <t>Wallet</t>
  </si>
  <si>
    <t>HDFC dividend</t>
  </si>
  <si>
    <t>Q3 payout</t>
  </si>
  <si>
    <t>February salary</t>
  </si>
  <si>
    <t>Website project</t>
  </si>
  <si>
    <t>Client ABC</t>
  </si>
  <si>
    <t>March salary</t>
  </si>
  <si>
    <t>Q1 performance bonus</t>
  </si>
  <si>
    <t>CATEGORY ANALYSIS  |  2024  -  Auto-calculated from Expense Log</t>
  </si>
  <si>
    <t>All values pull automatically from Expense Log. Do not edit this sheet.</t>
  </si>
  <si>
    <t>% of Expenses</t>
  </si>
  <si>
    <t>Monthly Average</t>
  </si>
  <si>
    <t>TOTAL</t>
  </si>
  <si>
    <t>SAVINGS GOALS TRACKER</t>
  </si>
  <si>
    <t>Enter goal details in white cells. Update the Saved So Far column regularly. Remaining and % Complete auto-calculate.</t>
  </si>
  <si>
    <t>Goal Name</t>
  </si>
  <si>
    <t>Target Amount</t>
  </si>
  <si>
    <t>Saved So Far</t>
  </si>
  <si>
    <t>Remaining</t>
  </si>
  <si>
    <t>% Complete</t>
  </si>
  <si>
    <t>Deadline</t>
  </si>
  <si>
    <t>Status</t>
  </si>
  <si>
    <t>Priority</t>
  </si>
  <si>
    <t>Emergency Fund (6 months expenses)</t>
  </si>
  <si>
    <t>2024-06-30</t>
  </si>
  <si>
    <t>High</t>
  </si>
  <si>
    <t>House Down Payment</t>
  </si>
  <si>
    <t>2026-12-31</t>
  </si>
  <si>
    <t>New Car Fund</t>
  </si>
  <si>
    <t>2025-06-30</t>
  </si>
  <si>
    <t>Medium</t>
  </si>
  <si>
    <t>Europe Trip</t>
  </si>
  <si>
    <t>2024-12-31</t>
  </si>
  <si>
    <t>Higher Education</t>
  </si>
  <si>
    <t>2026-06-30</t>
  </si>
  <si>
    <t>New Laptop</t>
  </si>
  <si>
    <t>2024-03-31</t>
  </si>
  <si>
    <t>Low</t>
  </si>
  <si>
    <t>Investment Portfolio</t>
  </si>
  <si>
    <t>2027-12-31</t>
  </si>
  <si>
    <t>Wedding Fund</t>
  </si>
  <si>
    <t>2025-12-31</t>
  </si>
  <si>
    <t>New Phone</t>
  </si>
  <si>
    <t>2024-01-31</t>
  </si>
  <si>
    <t>Retirement Corpus</t>
  </si>
  <si>
    <t>2045-12-31</t>
  </si>
  <si>
    <t>ANNUAL OVERVIEW  |  2024  -  Auto-calculated from logs</t>
  </si>
  <si>
    <t>All values come from Expense Log and Income Log via SUMIFS. No manual entry needed.</t>
  </si>
  <si>
    <t>Running Balance</t>
  </si>
  <si>
    <t xml:space="preserve">  KEY STATISTICS</t>
  </si>
  <si>
    <t>Metric</t>
  </si>
  <si>
    <t>Value</t>
  </si>
  <si>
    <t>Best month (highest savings)</t>
  </si>
  <si>
    <t>Worst month (lowest savings)</t>
  </si>
  <si>
    <t>Average monthly income</t>
  </si>
  <si>
    <t>Average monthly expenses</t>
  </si>
  <si>
    <t>Average monthly savings</t>
  </si>
  <si>
    <t>Overall savings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</si>
</sst>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2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10"/>
      <color rgb="FF1F3864"/>
      <name val="Calibri"/>
    </font>
    <font>
      <sz val="10"/>
      <color rgb="FF000000"/>
      <name val="Calibri"/>
    </font>
    <font>
      <i/>
      <sz val="9"/>
      <color rgb="FFBDD7EE"/>
      <name val="Calibri"/>
    </font>
    <font>
      <b/>
      <sz val="16"/>
      <color rgb="FFFFFFFF"/>
      <name val="Calibri"/>
    </font>
    <font>
      <b/>
      <sz val="10"/>
      <color rgb="FFFFFFFF"/>
      <name val="Calibri"/>
    </font>
    <font>
      <b/>
      <sz val="18"/>
      <color rgb="FF375623"/>
      <name val="Calibri"/>
    </font>
    <font>
      <b/>
      <sz val="18"/>
      <color rgb="FF9C0006"/>
      <name val="Calibri"/>
    </font>
    <font>
      <b/>
      <sz val="18"/>
      <color rgb="FF1F3864"/>
      <name val="Calibri"/>
    </font>
    <font>
      <b/>
      <sz val="18"/>
      <color rgb="FF7F6000"/>
      <name val="Calibri"/>
    </font>
    <font>
      <b/>
      <sz val="9"/>
      <color rgb="FFFFFFFF"/>
      <name val="Calibri"/>
    </font>
    <font>
      <b/>
      <sz val="10"/>
      <color rgb="FF375623"/>
      <name val="Calibri"/>
    </font>
    <font>
      <b/>
      <sz val="10"/>
      <color rgb="FF9C0006"/>
      <name val="Calibri"/>
    </font>
    <font>
      <b/>
      <sz val="10"/>
      <color rgb="FF7F6000"/>
      <name val="Calibri"/>
    </font>
    <font>
      <b/>
      <sz val="10"/>
      <color rgb="FF595959"/>
      <name val="Calibri"/>
    </font>
    <font>
      <b/>
      <sz val="13"/>
      <color rgb="FFFFFFFF"/>
      <name val="Calibri"/>
    </font>
    <font>
      <i/>
      <sz val="9"/>
      <color rgb="FF7F6000"/>
      <name val="Calibri"/>
    </font>
    <font>
      <i/>
      <sz val="9"/>
      <color rgb="FF375623"/>
      <name val="Calibri"/>
    </font>
    <font>
      <b/>
      <sz val="10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FCE4D6"/>
      </patternFill>
    </fill>
    <fill>
      <patternFill patternType="solid">
        <fgColor rgb="FF9C0006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4" borderId="0" xfId="0" applyFill="1"/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4" fontId="5" fillId="6" borderId="1" xfId="0" applyNumberFormat="1" applyFont="1" applyFill="1" applyBorder="1" applyAlignment="1">
      <alignment horizontal="center" vertical="center"/>
    </xf>
    <xf numFmtId="4" fontId="14" fillId="7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4" fontId="5" fillId="5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4" fontId="5" fillId="7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4" fontId="8" fillId="8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4" fontId="5" fillId="9" borderId="1" xfId="0" applyNumberFormat="1" applyFont="1" applyFill="1" applyBorder="1" applyAlignment="1">
      <alignment horizontal="center" vertical="center"/>
    </xf>
    <xf numFmtId="4" fontId="15" fillId="9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4" fontId="8" fillId="10" borderId="1" xfId="0" applyNumberFormat="1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/>
    </xf>
    <xf numFmtId="164" fontId="16" fillId="12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5" fontId="0" fillId="5" borderId="1" xfId="0" applyNumberFormat="1" applyFill="1" applyBorder="1"/>
    <xf numFmtId="0" fontId="0" fillId="5" borderId="1" xfId="0" applyFill="1" applyBorder="1"/>
    <xf numFmtId="4" fontId="0" fillId="5" borderId="1" xfId="0" applyNumberFormat="1" applyFill="1" applyBorder="1"/>
    <xf numFmtId="165" fontId="0" fillId="6" borderId="1" xfId="0" applyNumberFormat="1" applyFill="1" applyBorder="1"/>
    <xf numFmtId="0" fontId="0" fillId="6" borderId="1" xfId="0" applyFill="1" applyBorder="1"/>
    <xf numFmtId="4" fontId="0" fillId="6" borderId="1" xfId="0" applyNumberFormat="1" applyFill="1" applyBorder="1"/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65" fontId="0" fillId="7" borderId="1" xfId="0" applyNumberFormat="1" applyFill="1" applyBorder="1"/>
    <xf numFmtId="0" fontId="0" fillId="7" borderId="1" xfId="0" applyFill="1" applyBorder="1"/>
    <xf numFmtId="4" fontId="0" fillId="7" borderId="1" xfId="0" applyNumberFormat="1" applyFill="1" applyBorder="1"/>
    <xf numFmtId="164" fontId="5" fillId="6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4" fontId="10" fillId="9" borderId="0" xfId="0" applyNumberFormat="1" applyFont="1" applyFill="1" applyAlignment="1">
      <alignment horizontal="center" vertical="center"/>
    </xf>
    <xf numFmtId="4" fontId="11" fillId="11" borderId="0" xfId="0" applyNumberFormat="1" applyFont="1" applyFill="1" applyAlignment="1">
      <alignment horizontal="center" vertical="center"/>
    </xf>
    <xf numFmtId="4" fontId="9" fillId="7" borderId="0" xfId="0" applyNumberFormat="1" applyFont="1" applyFill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/>
    </xf>
    <xf numFmtId="0" fontId="19" fillId="12" borderId="0" xfId="0" applyFont="1" applyFill="1" applyAlignment="1">
      <alignment horizontal="center" vertical="center"/>
    </xf>
    <xf numFmtId="4" fontId="18" fillId="10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right" vertical="center"/>
    </xf>
    <xf numFmtId="0" fontId="7" fillId="10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4" fontId="18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4" fontId="14" fillId="7" borderId="1" xfId="0" applyNumberFormat="1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Income vs Expenses - 2024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Dashboard!$C$11</c:f>
              <c:strCache>
                <c:ptCount val="1"/>
                <c:pt idx="0">
                  <c:v>Income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Dashboard!$B$12:$B$23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Dashboard!$C$12:$C$23</c:f>
              <c:numCache>
                <c:formatCode>#,##0.00</c:formatCode>
                <c:ptCount val="12"/>
                <c:pt idx="0">
                  <c:v>88920</c:v>
                </c:pt>
                <c:pt idx="1">
                  <c:v>93000</c:v>
                </c:pt>
                <c:pt idx="2">
                  <c:v>100000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4-4C9F-89BE-EC32A7088764}"/>
            </c:ext>
          </c:extLst>
        </c:ser>
        <c:ser>
          <c:idx val="1"/>
          <c:order val="1"/>
          <c:tx>
            <c:strRef>
              <c:f>Dashboard!$D$11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Dashboard!$B$12:$B$23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Dashboard!$D$12:$D$23</c:f>
              <c:numCache>
                <c:formatCode>#,##0.00</c:formatCode>
                <c:ptCount val="12"/>
                <c:pt idx="0">
                  <c:v>30548</c:v>
                </c:pt>
                <c:pt idx="1">
                  <c:v>25000</c:v>
                </c:pt>
                <c:pt idx="2">
                  <c:v>18000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4-4C9F-89BE-EC32A7088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Spending by Category - 2024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'Category Analysis'!$C$4</c:f>
              <c:strCache>
                <c:ptCount val="1"/>
                <c:pt idx="0">
                  <c:v>Annual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Analysis'!$B$5:$B$15</c:f>
              <c:strCache>
                <c:ptCount val="11"/>
                <c:pt idx="0">
                  <c:v>Housing</c:v>
                </c:pt>
                <c:pt idx="1">
                  <c:v>Food and Groceries</c:v>
                </c:pt>
                <c:pt idx="2">
                  <c:v>Transport</c:v>
                </c:pt>
                <c:pt idx="3">
                  <c:v>Health and Medical</c:v>
                </c:pt>
                <c:pt idx="4">
                  <c:v>Education</c:v>
                </c:pt>
                <c:pt idx="5">
                  <c:v>Shopping</c:v>
                </c:pt>
                <c:pt idx="6">
                  <c:v>Subscriptions</c:v>
                </c:pt>
                <c:pt idx="7">
                  <c:v>Entertainment</c:v>
                </c:pt>
                <c:pt idx="8">
                  <c:v>Travel</c:v>
                </c:pt>
                <c:pt idx="9">
                  <c:v>Savings and Investments</c:v>
                </c:pt>
                <c:pt idx="10">
                  <c:v>Miscellaneous</c:v>
                </c:pt>
              </c:strCache>
            </c:strRef>
          </c:cat>
          <c:val>
            <c:numRef>
              <c:f>'Category Analysis'!$C$5:$C$15</c:f>
              <c:numCache>
                <c:formatCode>#,##0.00</c:formatCode>
                <c:ptCount val="11"/>
                <c:pt idx="0">
                  <c:v>54000</c:v>
                </c:pt>
                <c:pt idx="1">
                  <c:v>6450</c:v>
                </c:pt>
                <c:pt idx="2">
                  <c:v>1600</c:v>
                </c:pt>
                <c:pt idx="3">
                  <c:v>700</c:v>
                </c:pt>
                <c:pt idx="4">
                  <c:v>499</c:v>
                </c:pt>
                <c:pt idx="5">
                  <c:v>1200</c:v>
                </c:pt>
                <c:pt idx="6">
                  <c:v>499</c:v>
                </c:pt>
                <c:pt idx="7">
                  <c:v>600</c:v>
                </c:pt>
                <c:pt idx="8">
                  <c:v>0</c:v>
                </c:pt>
                <c:pt idx="9">
                  <c:v>8000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2-41C7-9A34-D86D22554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Net Savings Trend - 2024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'Annual Overview'!$E$4</c:f>
              <c:strCache>
                <c:ptCount val="1"/>
                <c:pt idx="0">
                  <c:v>Net Savings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'Annual Overview'!$B$5:$B$16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Overview'!$E$5:$E$16</c:f>
              <c:numCache>
                <c:formatCode>#,##0.00</c:formatCode>
                <c:ptCount val="12"/>
                <c:pt idx="0">
                  <c:v>58372</c:v>
                </c:pt>
                <c:pt idx="1">
                  <c:v>68000</c:v>
                </c:pt>
                <c:pt idx="2">
                  <c:v>82000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1F-4B49-969C-0C6385636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56"/>
  <sheetViews>
    <sheetView showGridLines="0" workbookViewId="0"/>
  </sheetViews>
  <sheetFormatPr defaultRowHeight="14.5" x14ac:dyDescent="0.35"/>
  <cols>
    <col min="1" max="1" width="3" customWidth="1"/>
    <col min="2" max="2" width="28" customWidth="1"/>
    <col min="3" max="3" width="68" customWidth="1"/>
    <col min="4" max="4" width="3" customWidth="1"/>
  </cols>
  <sheetData>
    <row r="1" spans="2:3" ht="36" customHeight="1" x14ac:dyDescent="0.35">
      <c r="B1" s="57" t="s">
        <v>0</v>
      </c>
      <c r="C1" s="54"/>
    </row>
    <row r="2" spans="2:3" ht="22" customHeight="1" x14ac:dyDescent="0.35">
      <c r="B2" s="55" t="s">
        <v>1</v>
      </c>
      <c r="C2" s="54"/>
    </row>
    <row r="3" spans="2:3" ht="8" customHeight="1" x14ac:dyDescent="0.35">
      <c r="B3" s="1"/>
      <c r="C3" s="1"/>
    </row>
    <row r="4" spans="2:3" ht="26" customHeight="1" x14ac:dyDescent="0.35">
      <c r="B4" s="53" t="s">
        <v>2</v>
      </c>
      <c r="C4" s="54"/>
    </row>
    <row r="5" spans="2:3" ht="22" customHeight="1" x14ac:dyDescent="0.35">
      <c r="B5" s="2" t="s">
        <v>3</v>
      </c>
      <c r="C5" s="3" t="s">
        <v>4</v>
      </c>
    </row>
    <row r="6" spans="2:3" ht="22" customHeight="1" x14ac:dyDescent="0.35">
      <c r="B6" s="4" t="s">
        <v>5</v>
      </c>
      <c r="C6" s="5" t="s">
        <v>6</v>
      </c>
    </row>
    <row r="7" spans="2:3" ht="22" customHeight="1" x14ac:dyDescent="0.35">
      <c r="B7" s="2" t="s">
        <v>7</v>
      </c>
      <c r="C7" s="3" t="s">
        <v>8</v>
      </c>
    </row>
    <row r="8" spans="2:3" ht="22" customHeight="1" x14ac:dyDescent="0.35">
      <c r="B8" s="4" t="s">
        <v>9</v>
      </c>
      <c r="C8" s="5" t="s">
        <v>10</v>
      </c>
    </row>
    <row r="9" spans="2:3" ht="22" customHeight="1" x14ac:dyDescent="0.35">
      <c r="B9" s="2" t="s">
        <v>11</v>
      </c>
      <c r="C9" s="3" t="s">
        <v>12</v>
      </c>
    </row>
    <row r="10" spans="2:3" ht="22" customHeight="1" x14ac:dyDescent="0.35">
      <c r="B10" s="4" t="s">
        <v>13</v>
      </c>
      <c r="C10" s="5" t="s">
        <v>14</v>
      </c>
    </row>
    <row r="11" spans="2:3" ht="8" customHeight="1" x14ac:dyDescent="0.35">
      <c r="B11" s="1"/>
      <c r="C11" s="1"/>
    </row>
    <row r="12" spans="2:3" ht="26" customHeight="1" x14ac:dyDescent="0.35">
      <c r="B12" s="53" t="s">
        <v>15</v>
      </c>
      <c r="C12" s="54"/>
    </row>
    <row r="13" spans="2:3" ht="22" customHeight="1" x14ac:dyDescent="0.35">
      <c r="B13" s="2" t="s">
        <v>16</v>
      </c>
      <c r="C13" s="3" t="s">
        <v>17</v>
      </c>
    </row>
    <row r="14" spans="2:3" ht="22" customHeight="1" x14ac:dyDescent="0.35">
      <c r="B14" s="4" t="s">
        <v>18</v>
      </c>
      <c r="C14" s="5" t="s">
        <v>19</v>
      </c>
    </row>
    <row r="15" spans="2:3" ht="22" customHeight="1" x14ac:dyDescent="0.35">
      <c r="B15" s="2" t="s">
        <v>20</v>
      </c>
      <c r="C15" s="3" t="s">
        <v>21</v>
      </c>
    </row>
    <row r="16" spans="2:3" ht="22" customHeight="1" x14ac:dyDescent="0.35">
      <c r="B16" s="4" t="s">
        <v>22</v>
      </c>
      <c r="C16" s="5" t="s">
        <v>23</v>
      </c>
    </row>
    <row r="17" spans="2:3" ht="22" customHeight="1" x14ac:dyDescent="0.35">
      <c r="B17" s="2" t="s">
        <v>24</v>
      </c>
      <c r="C17" s="3" t="s">
        <v>25</v>
      </c>
    </row>
    <row r="18" spans="2:3" ht="22" customHeight="1" x14ac:dyDescent="0.35">
      <c r="B18" s="4" t="s">
        <v>26</v>
      </c>
      <c r="C18" s="5" t="s">
        <v>27</v>
      </c>
    </row>
    <row r="19" spans="2:3" ht="22" customHeight="1" x14ac:dyDescent="0.35">
      <c r="B19" s="2" t="s">
        <v>28</v>
      </c>
      <c r="C19" s="3" t="s">
        <v>29</v>
      </c>
    </row>
    <row r="20" spans="2:3" ht="22" customHeight="1" x14ac:dyDescent="0.35">
      <c r="B20" s="4" t="s">
        <v>30</v>
      </c>
      <c r="C20" s="5" t="s">
        <v>31</v>
      </c>
    </row>
    <row r="21" spans="2:3" ht="8" customHeight="1" x14ac:dyDescent="0.35">
      <c r="B21" s="1"/>
      <c r="C21" s="1"/>
    </row>
    <row r="22" spans="2:3" ht="26" customHeight="1" x14ac:dyDescent="0.35">
      <c r="B22" s="53" t="s">
        <v>32</v>
      </c>
      <c r="C22" s="54"/>
    </row>
    <row r="23" spans="2:3" ht="22" customHeight="1" x14ac:dyDescent="0.35">
      <c r="B23" s="2" t="s">
        <v>33</v>
      </c>
      <c r="C23" s="3" t="s">
        <v>34</v>
      </c>
    </row>
    <row r="24" spans="2:3" ht="22" customHeight="1" x14ac:dyDescent="0.35">
      <c r="B24" s="4" t="s">
        <v>33</v>
      </c>
      <c r="C24" s="5" t="s">
        <v>35</v>
      </c>
    </row>
    <row r="25" spans="2:3" ht="22" customHeight="1" x14ac:dyDescent="0.35">
      <c r="B25" s="2" t="s">
        <v>33</v>
      </c>
      <c r="C25" s="3" t="s">
        <v>36</v>
      </c>
    </row>
    <row r="26" spans="2:3" ht="22" customHeight="1" x14ac:dyDescent="0.35">
      <c r="B26" s="4" t="s">
        <v>33</v>
      </c>
      <c r="C26" s="5" t="s">
        <v>37</v>
      </c>
    </row>
    <row r="27" spans="2:3" ht="22" customHeight="1" x14ac:dyDescent="0.35">
      <c r="B27" s="2" t="s">
        <v>38</v>
      </c>
      <c r="C27" s="3" t="s">
        <v>39</v>
      </c>
    </row>
    <row r="28" spans="2:3" ht="22" customHeight="1" x14ac:dyDescent="0.35">
      <c r="B28" s="4" t="s">
        <v>38</v>
      </c>
      <c r="C28" s="5" t="s">
        <v>40</v>
      </c>
    </row>
    <row r="29" spans="2:3" ht="22" customHeight="1" x14ac:dyDescent="0.35">
      <c r="B29" s="2" t="s">
        <v>38</v>
      </c>
      <c r="C29" s="3" t="s">
        <v>41</v>
      </c>
    </row>
    <row r="30" spans="2:3" ht="8" customHeight="1" x14ac:dyDescent="0.35">
      <c r="B30" s="1"/>
      <c r="C30" s="1"/>
    </row>
    <row r="31" spans="2:3" ht="26" customHeight="1" x14ac:dyDescent="0.35">
      <c r="B31" s="53" t="s">
        <v>42</v>
      </c>
      <c r="C31" s="54"/>
    </row>
    <row r="32" spans="2:3" ht="22" customHeight="1" x14ac:dyDescent="0.35">
      <c r="B32" s="4" t="s">
        <v>43</v>
      </c>
      <c r="C32" s="5" t="s">
        <v>44</v>
      </c>
    </row>
    <row r="33" spans="2:3" ht="22" customHeight="1" x14ac:dyDescent="0.35">
      <c r="B33" s="2" t="s">
        <v>45</v>
      </c>
      <c r="C33" s="3" t="s">
        <v>44</v>
      </c>
    </row>
    <row r="34" spans="2:3" ht="22" customHeight="1" x14ac:dyDescent="0.35">
      <c r="B34" s="4" t="s">
        <v>46</v>
      </c>
      <c r="C34" s="5" t="s">
        <v>44</v>
      </c>
    </row>
    <row r="35" spans="2:3" ht="22" customHeight="1" x14ac:dyDescent="0.35">
      <c r="B35" s="2" t="s">
        <v>47</v>
      </c>
      <c r="C35" s="3" t="s">
        <v>44</v>
      </c>
    </row>
    <row r="36" spans="2:3" ht="22" customHeight="1" x14ac:dyDescent="0.35">
      <c r="B36" s="4" t="s">
        <v>48</v>
      </c>
      <c r="C36" s="5" t="s">
        <v>44</v>
      </c>
    </row>
    <row r="37" spans="2:3" ht="22" customHeight="1" x14ac:dyDescent="0.35">
      <c r="B37" s="2" t="s">
        <v>49</v>
      </c>
      <c r="C37" s="3" t="s">
        <v>44</v>
      </c>
    </row>
    <row r="38" spans="2:3" ht="22" customHeight="1" x14ac:dyDescent="0.35">
      <c r="B38" s="4" t="s">
        <v>50</v>
      </c>
      <c r="C38" s="5" t="s">
        <v>44</v>
      </c>
    </row>
    <row r="39" spans="2:3" ht="22" customHeight="1" x14ac:dyDescent="0.35">
      <c r="B39" s="2" t="s">
        <v>51</v>
      </c>
      <c r="C39" s="3" t="s">
        <v>44</v>
      </c>
    </row>
    <row r="40" spans="2:3" ht="22" customHeight="1" x14ac:dyDescent="0.35">
      <c r="B40" s="4" t="s">
        <v>52</v>
      </c>
      <c r="C40" s="5" t="s">
        <v>44</v>
      </c>
    </row>
    <row r="41" spans="2:3" ht="22" customHeight="1" x14ac:dyDescent="0.35">
      <c r="B41" s="2" t="s">
        <v>53</v>
      </c>
      <c r="C41" s="3" t="s">
        <v>44</v>
      </c>
    </row>
    <row r="42" spans="2:3" ht="22" customHeight="1" x14ac:dyDescent="0.35">
      <c r="B42" s="4" t="s">
        <v>54</v>
      </c>
      <c r="C42" s="5" t="s">
        <v>44</v>
      </c>
    </row>
    <row r="43" spans="2:3" ht="8" customHeight="1" x14ac:dyDescent="0.35">
      <c r="B43" s="1"/>
      <c r="C43" s="1"/>
    </row>
    <row r="44" spans="2:3" ht="26" customHeight="1" x14ac:dyDescent="0.35">
      <c r="B44" s="53" t="s">
        <v>55</v>
      </c>
      <c r="C44" s="54"/>
    </row>
    <row r="45" spans="2:3" ht="22" customHeight="1" x14ac:dyDescent="0.35">
      <c r="B45" s="2" t="s">
        <v>56</v>
      </c>
      <c r="C45" s="3" t="s">
        <v>57</v>
      </c>
    </row>
    <row r="46" spans="2:3" ht="22" customHeight="1" x14ac:dyDescent="0.35">
      <c r="B46" s="4" t="s">
        <v>58</v>
      </c>
      <c r="C46" s="5" t="s">
        <v>57</v>
      </c>
    </row>
    <row r="47" spans="2:3" ht="22" customHeight="1" x14ac:dyDescent="0.35">
      <c r="B47" s="2" t="s">
        <v>59</v>
      </c>
      <c r="C47" s="3" t="s">
        <v>57</v>
      </c>
    </row>
    <row r="48" spans="2:3" ht="22" customHeight="1" x14ac:dyDescent="0.35">
      <c r="B48" s="4" t="s">
        <v>60</v>
      </c>
      <c r="C48" s="5" t="s">
        <v>57</v>
      </c>
    </row>
    <row r="49" spans="2:3" ht="22" customHeight="1" x14ac:dyDescent="0.35">
      <c r="B49" s="2" t="s">
        <v>61</v>
      </c>
      <c r="C49" s="3" t="s">
        <v>57</v>
      </c>
    </row>
    <row r="50" spans="2:3" ht="22" customHeight="1" x14ac:dyDescent="0.35">
      <c r="B50" s="4" t="s">
        <v>62</v>
      </c>
      <c r="C50" s="5" t="s">
        <v>57</v>
      </c>
    </row>
    <row r="51" spans="2:3" ht="8" customHeight="1" x14ac:dyDescent="0.35">
      <c r="B51" s="1"/>
      <c r="C51" s="1"/>
    </row>
    <row r="52" spans="2:3" ht="26" customHeight="1" x14ac:dyDescent="0.35">
      <c r="B52" s="53" t="s">
        <v>63</v>
      </c>
      <c r="C52" s="54"/>
    </row>
    <row r="53" spans="2:3" ht="22" customHeight="1" x14ac:dyDescent="0.35">
      <c r="B53" s="2" t="s">
        <v>64</v>
      </c>
      <c r="C53" s="3" t="s">
        <v>65</v>
      </c>
    </row>
    <row r="54" spans="2:3" ht="22" customHeight="1" x14ac:dyDescent="0.35">
      <c r="B54" s="4" t="s">
        <v>66</v>
      </c>
      <c r="C54" s="5" t="s">
        <v>67</v>
      </c>
    </row>
    <row r="55" spans="2:3" ht="22" customHeight="1" x14ac:dyDescent="0.35">
      <c r="B55" s="2" t="s">
        <v>68</v>
      </c>
      <c r="C55" s="3" t="s">
        <v>69</v>
      </c>
    </row>
    <row r="56" spans="2:3" ht="20" customHeight="1" x14ac:dyDescent="0.35">
      <c r="B56" s="56" t="s">
        <v>70</v>
      </c>
      <c r="C56" s="54"/>
    </row>
  </sheetData>
  <mergeCells count="9">
    <mergeCell ref="B56:C56"/>
    <mergeCell ref="B1:C1"/>
    <mergeCell ref="B4:C4"/>
    <mergeCell ref="B12:C12"/>
    <mergeCell ref="B52:C52"/>
    <mergeCell ref="B44:C44"/>
    <mergeCell ref="B2:C2"/>
    <mergeCell ref="B22:C22"/>
    <mergeCell ref="B31:C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E25"/>
  <sheetViews>
    <sheetView showGridLines="0" workbookViewId="0"/>
  </sheetViews>
  <sheetFormatPr defaultRowHeight="14.5" x14ac:dyDescent="0.35"/>
  <cols>
    <col min="1" max="1" width="2" customWidth="1"/>
    <col min="2" max="5" width="22" customWidth="1"/>
    <col min="6" max="6" width="2" customWidth="1"/>
  </cols>
  <sheetData>
    <row r="1" spans="2:5" ht="36" customHeight="1" x14ac:dyDescent="0.35">
      <c r="B1" s="58" t="s">
        <v>71</v>
      </c>
      <c r="C1" s="54"/>
      <c r="D1" s="54"/>
      <c r="E1" s="54"/>
    </row>
    <row r="2" spans="2:5" ht="20" customHeight="1" x14ac:dyDescent="0.35">
      <c r="B2" s="55" t="s">
        <v>72</v>
      </c>
      <c r="C2" s="54"/>
      <c r="D2" s="54"/>
      <c r="E2" s="54"/>
    </row>
    <row r="3" spans="2:5" ht="12" customHeight="1" x14ac:dyDescent="0.35"/>
    <row r="4" spans="2:5" ht="18" customHeight="1" x14ac:dyDescent="0.35">
      <c r="B4" s="59" t="s">
        <v>73</v>
      </c>
      <c r="C4" s="60" t="s">
        <v>74</v>
      </c>
      <c r="D4" s="61" t="s">
        <v>75</v>
      </c>
      <c r="E4" s="62" t="s">
        <v>76</v>
      </c>
    </row>
    <row r="5" spans="2:5" ht="18" customHeight="1" x14ac:dyDescent="0.35">
      <c r="B5" s="54"/>
      <c r="C5" s="54"/>
      <c r="D5" s="54"/>
      <c r="E5" s="54"/>
    </row>
    <row r="6" spans="2:5" ht="18" customHeight="1" x14ac:dyDescent="0.35">
      <c r="B6" s="65">
        <f>SUMIFS('Income Log'!$E:$E,'Income Log'!$B:$B,"&gt;="&amp;DATE(2024,1,1),'Income Log'!$B:$B,"&lt;"&amp;DATE(2025,1,1))</f>
        <v>281920</v>
      </c>
      <c r="C6" s="63">
        <f>SUMIFS('Expense Log'!$E:$E,'Expense Log'!$B:$B,"&gt;="&amp;DATE(2024,1,1),'Expense Log'!$B:$B,"&lt;"&amp;DATE(2025,1,1))</f>
        <v>73548</v>
      </c>
      <c r="D6" s="64">
        <f>SUMIFS('Income Log'!$E:$E,'Income Log'!$B:$B,"&gt;="&amp;DATE(2024,1,1),'Income Log'!$B:$B,"&lt;"&amp;DATE(2025,1,1))-SUMIFS('Expense Log'!$E:$E,'Expense Log'!$B:$B,"&gt;="&amp;DATE(2024,1,1),'Expense Log'!$B:$B,"&lt;"&amp;DATE(2025,1,1))</f>
        <v>208372</v>
      </c>
      <c r="E6" s="66">
        <f>IF(SUMIFS('Income Log'!$E:$E,'Income Log'!$B:$B,"&gt;="&amp;DATE(2024,1,1),'Income Log'!$B:$B,"&lt;"&amp;DATE(2025,1,1))=0,0,(SUMIFS('Income Log'!$E:$E,'Income Log'!$B:$B,"&gt;="&amp;DATE(2024,1,1),'Income Log'!$B:$B,"&lt;"&amp;DATE(2025,1,1))-SUMIFS('Expense Log'!$E:$E,'Expense Log'!$B:$B,"&gt;="&amp;DATE(2024,1,1),'Expense Log'!$B:$B,"&lt;"&amp;DATE(2025,1,1)))/SUMIFS('Income Log'!$E:$E,'Income Log'!$B:$B,"&gt;="&amp;DATE(2024,1,1),'Income Log'!$B:$B,"&lt;"&amp;DATE(2025,1,1)))</f>
        <v>0.73911748013620882</v>
      </c>
    </row>
    <row r="7" spans="2:5" ht="18" customHeight="1" x14ac:dyDescent="0.35">
      <c r="B7" s="54"/>
      <c r="C7" s="54"/>
      <c r="D7" s="54"/>
      <c r="E7" s="54"/>
    </row>
    <row r="8" spans="2:5" ht="18" customHeight="1" x14ac:dyDescent="0.35">
      <c r="B8" s="54"/>
      <c r="C8" s="54"/>
      <c r="D8" s="54"/>
      <c r="E8" s="54"/>
    </row>
    <row r="9" spans="2:5" ht="12" customHeight="1" x14ac:dyDescent="0.35"/>
    <row r="10" spans="2:5" ht="24" customHeight="1" x14ac:dyDescent="0.35">
      <c r="B10" s="53" t="s">
        <v>77</v>
      </c>
      <c r="C10" s="54"/>
      <c r="D10" s="54"/>
      <c r="E10" s="54"/>
    </row>
    <row r="11" spans="2:5" ht="20" customHeight="1" x14ac:dyDescent="0.35">
      <c r="B11" s="6" t="s">
        <v>78</v>
      </c>
      <c r="C11" s="6" t="s">
        <v>79</v>
      </c>
      <c r="D11" s="6" t="s">
        <v>80</v>
      </c>
      <c r="E11" s="6" t="s">
        <v>81</v>
      </c>
    </row>
    <row r="12" spans="2:5" ht="20" customHeight="1" x14ac:dyDescent="0.35">
      <c r="B12" s="7" t="s">
        <v>82</v>
      </c>
      <c r="C12" s="8">
        <f>SUMIFS('Income Log'!$E:$E,'Income Log'!$B:$B,"&gt;="&amp;DATE(2024,1,1),'Income Log'!$B:$B,"&lt;"&amp;DATE(2024,2,1))</f>
        <v>88920</v>
      </c>
      <c r="D12" s="8">
        <f>SUMIFS('Expense Log'!$E:$E,'Expense Log'!$B:$B,"&gt;="&amp;DATE(2024,1,1),'Expense Log'!$B:$B,"&lt;"&amp;DATE(2024,2,1))</f>
        <v>30548</v>
      </c>
      <c r="E12" s="9">
        <f t="shared" ref="E12:E23" si="0">C12-D12</f>
        <v>58372</v>
      </c>
    </row>
    <row r="13" spans="2:5" ht="20" customHeight="1" x14ac:dyDescent="0.35">
      <c r="B13" s="10" t="s">
        <v>83</v>
      </c>
      <c r="C13" s="11">
        <f>SUMIFS('Income Log'!$E:$E,'Income Log'!$B:$B,"&gt;="&amp;DATE(2024,2,1),'Income Log'!$B:$B,"&lt;"&amp;DATE(2024,3,1))</f>
        <v>93000</v>
      </c>
      <c r="D13" s="11">
        <f>SUMIFS('Expense Log'!$E:$E,'Expense Log'!$B:$B,"&gt;="&amp;DATE(2024,2,1),'Expense Log'!$B:$B,"&lt;"&amp;DATE(2024,3,1))</f>
        <v>25000</v>
      </c>
      <c r="E13" s="9">
        <f t="shared" si="0"/>
        <v>68000</v>
      </c>
    </row>
    <row r="14" spans="2:5" ht="20" customHeight="1" x14ac:dyDescent="0.35">
      <c r="B14" s="7" t="s">
        <v>84</v>
      </c>
      <c r="C14" s="8">
        <f>SUMIFS('Income Log'!$E:$E,'Income Log'!$B:$B,"&gt;="&amp;DATE(2024,3,1),'Income Log'!$B:$B,"&lt;"&amp;DATE(2024,4,1))</f>
        <v>100000</v>
      </c>
      <c r="D14" s="8">
        <f>SUMIFS('Expense Log'!$E:$E,'Expense Log'!$B:$B,"&gt;="&amp;DATE(2024,3,1),'Expense Log'!$B:$B,"&lt;"&amp;DATE(2024,4,1))</f>
        <v>18000</v>
      </c>
      <c r="E14" s="9">
        <f t="shared" si="0"/>
        <v>82000</v>
      </c>
    </row>
    <row r="15" spans="2:5" ht="20" customHeight="1" x14ac:dyDescent="0.35">
      <c r="B15" s="10" t="s">
        <v>85</v>
      </c>
      <c r="C15" s="11">
        <f>SUMIFS('Income Log'!$E:$E,'Income Log'!$B:$B,"&gt;="&amp;DATE(2024,4,1),'Income Log'!$B:$B,"&lt;"&amp;DATE(2024,5,1))</f>
        <v>0</v>
      </c>
      <c r="D15" s="11">
        <f>SUMIFS('Expense Log'!$E:$E,'Expense Log'!$B:$B,"&gt;="&amp;DATE(2024,4,1),'Expense Log'!$B:$B,"&lt;"&amp;DATE(2024,5,1))</f>
        <v>0</v>
      </c>
      <c r="E15" s="9">
        <f t="shared" si="0"/>
        <v>0</v>
      </c>
    </row>
    <row r="16" spans="2:5" ht="20" customHeight="1" x14ac:dyDescent="0.35">
      <c r="B16" s="7" t="s">
        <v>86</v>
      </c>
      <c r="C16" s="8">
        <f>SUMIFS('Income Log'!$E:$E,'Income Log'!$B:$B,"&gt;="&amp;DATE(2024,5,1),'Income Log'!$B:$B,"&lt;"&amp;DATE(2024,6,1))</f>
        <v>0</v>
      </c>
      <c r="D16" s="8">
        <f>SUMIFS('Expense Log'!$E:$E,'Expense Log'!$B:$B,"&gt;="&amp;DATE(2024,5,1),'Expense Log'!$B:$B,"&lt;"&amp;DATE(2024,6,1))</f>
        <v>0</v>
      </c>
      <c r="E16" s="9">
        <f t="shared" si="0"/>
        <v>0</v>
      </c>
    </row>
    <row r="17" spans="2:5" ht="20" customHeight="1" x14ac:dyDescent="0.35">
      <c r="B17" s="10" t="s">
        <v>87</v>
      </c>
      <c r="C17" s="11">
        <f>SUMIFS('Income Log'!$E:$E,'Income Log'!$B:$B,"&gt;="&amp;DATE(2024,6,1),'Income Log'!$B:$B,"&lt;"&amp;DATE(2024,7,1))</f>
        <v>0</v>
      </c>
      <c r="D17" s="11">
        <f>SUMIFS('Expense Log'!$E:$E,'Expense Log'!$B:$B,"&gt;="&amp;DATE(2024,6,1),'Expense Log'!$B:$B,"&lt;"&amp;DATE(2024,7,1))</f>
        <v>0</v>
      </c>
      <c r="E17" s="9">
        <f t="shared" si="0"/>
        <v>0</v>
      </c>
    </row>
    <row r="18" spans="2:5" ht="20" customHeight="1" x14ac:dyDescent="0.35">
      <c r="B18" s="7" t="s">
        <v>88</v>
      </c>
      <c r="C18" s="8">
        <f>SUMIFS('Income Log'!$E:$E,'Income Log'!$B:$B,"&gt;="&amp;DATE(2024,7,1),'Income Log'!$B:$B,"&lt;"&amp;DATE(2024,8,1))</f>
        <v>0</v>
      </c>
      <c r="D18" s="8">
        <f>SUMIFS('Expense Log'!$E:$E,'Expense Log'!$B:$B,"&gt;="&amp;DATE(2024,7,1),'Expense Log'!$B:$B,"&lt;"&amp;DATE(2024,8,1))</f>
        <v>0</v>
      </c>
      <c r="E18" s="9">
        <f t="shared" si="0"/>
        <v>0</v>
      </c>
    </row>
    <row r="19" spans="2:5" ht="20" customHeight="1" x14ac:dyDescent="0.35">
      <c r="B19" s="10" t="s">
        <v>89</v>
      </c>
      <c r="C19" s="11">
        <f>SUMIFS('Income Log'!$E:$E,'Income Log'!$B:$B,"&gt;="&amp;DATE(2024,8,1),'Income Log'!$B:$B,"&lt;"&amp;DATE(2024,9,1))</f>
        <v>0</v>
      </c>
      <c r="D19" s="11">
        <f>SUMIFS('Expense Log'!$E:$E,'Expense Log'!$B:$B,"&gt;="&amp;DATE(2024,8,1),'Expense Log'!$B:$B,"&lt;"&amp;DATE(2024,9,1))</f>
        <v>0</v>
      </c>
      <c r="E19" s="9">
        <f t="shared" si="0"/>
        <v>0</v>
      </c>
    </row>
    <row r="20" spans="2:5" ht="20" customHeight="1" x14ac:dyDescent="0.35">
      <c r="B20" s="7" t="s">
        <v>90</v>
      </c>
      <c r="C20" s="8">
        <f>SUMIFS('Income Log'!$E:$E,'Income Log'!$B:$B,"&gt;="&amp;DATE(2024,9,1),'Income Log'!$B:$B,"&lt;"&amp;DATE(2024,10,1))</f>
        <v>0</v>
      </c>
      <c r="D20" s="8">
        <f>SUMIFS('Expense Log'!$E:$E,'Expense Log'!$B:$B,"&gt;="&amp;DATE(2024,9,1),'Expense Log'!$B:$B,"&lt;"&amp;DATE(2024,10,1))</f>
        <v>0</v>
      </c>
      <c r="E20" s="9">
        <f t="shared" si="0"/>
        <v>0</v>
      </c>
    </row>
    <row r="21" spans="2:5" ht="20" customHeight="1" x14ac:dyDescent="0.35">
      <c r="B21" s="10" t="s">
        <v>91</v>
      </c>
      <c r="C21" s="11">
        <f>SUMIFS('Income Log'!$E:$E,'Income Log'!$B:$B,"&gt;="&amp;DATE(2024,10,1),'Income Log'!$B:$B,"&lt;"&amp;DATE(2024,11,1))</f>
        <v>0</v>
      </c>
      <c r="D21" s="11">
        <f>SUMIFS('Expense Log'!$E:$E,'Expense Log'!$B:$B,"&gt;="&amp;DATE(2024,10,1),'Expense Log'!$B:$B,"&lt;"&amp;DATE(2024,11,1))</f>
        <v>0</v>
      </c>
      <c r="E21" s="9">
        <f t="shared" si="0"/>
        <v>0</v>
      </c>
    </row>
    <row r="22" spans="2:5" ht="20" customHeight="1" x14ac:dyDescent="0.35">
      <c r="B22" s="7" t="s">
        <v>92</v>
      </c>
      <c r="C22" s="8">
        <f>SUMIFS('Income Log'!$E:$E,'Income Log'!$B:$B,"&gt;="&amp;DATE(2024,11,1),'Income Log'!$B:$B,"&lt;"&amp;DATE(2024,12,1))</f>
        <v>0</v>
      </c>
      <c r="D22" s="8">
        <f>SUMIFS('Expense Log'!$E:$E,'Expense Log'!$B:$B,"&gt;="&amp;DATE(2024,11,1),'Expense Log'!$B:$B,"&lt;"&amp;DATE(2024,12,1))</f>
        <v>0</v>
      </c>
      <c r="E22" s="9">
        <f t="shared" si="0"/>
        <v>0</v>
      </c>
    </row>
    <row r="23" spans="2:5" ht="20" customHeight="1" x14ac:dyDescent="0.35">
      <c r="B23" s="10" t="s">
        <v>93</v>
      </c>
      <c r="C23" s="11">
        <f>SUMIFS('Income Log'!$E:$E,'Income Log'!$B:$B,"&gt;="&amp;DATE(2024,12,1),'Income Log'!$B:$B,"&lt;"&amp;DATE(2025,1,1))</f>
        <v>0</v>
      </c>
      <c r="D23" s="11">
        <f>SUMIFS('Expense Log'!$E:$E,'Expense Log'!$B:$B,"&gt;="&amp;DATE(2024,12,1),'Expense Log'!$B:$B,"&lt;"&amp;DATE(2025,1,1))</f>
        <v>0</v>
      </c>
      <c r="E23" s="9">
        <f t="shared" si="0"/>
        <v>0</v>
      </c>
    </row>
    <row r="24" spans="2:5" ht="22" customHeight="1" x14ac:dyDescent="0.35">
      <c r="B24" s="12" t="s">
        <v>94</v>
      </c>
      <c r="C24" s="13">
        <f>SUM(C12:C23)</f>
        <v>281920</v>
      </c>
      <c r="D24" s="13">
        <f>SUM(D12:D23)</f>
        <v>73548</v>
      </c>
      <c r="E24" s="13">
        <f>SUM(E12:E23)</f>
        <v>208372</v>
      </c>
    </row>
    <row r="25" spans="2:5" ht="12" customHeight="1" x14ac:dyDescent="0.35"/>
  </sheetData>
  <mergeCells count="11">
    <mergeCell ref="B10:E10"/>
    <mergeCell ref="C6:C8"/>
    <mergeCell ref="D6:D8"/>
    <mergeCell ref="B6:B8"/>
    <mergeCell ref="E6:E8"/>
    <mergeCell ref="B1:E1"/>
    <mergeCell ref="B4:B5"/>
    <mergeCell ref="C4:C5"/>
    <mergeCell ref="D4:D5"/>
    <mergeCell ref="E4:E5"/>
    <mergeCell ref="B2:E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B1:O30"/>
  <sheetViews>
    <sheetView showGridLines="0" tabSelected="1" workbookViewId="0">
      <pane xSplit="2" ySplit="5" topLeftCell="C10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26" customWidth="1"/>
    <col min="3" max="15" width="13" customWidth="1"/>
    <col min="16" max="16" width="2" customWidth="1"/>
  </cols>
  <sheetData>
    <row r="1" spans="2:15" ht="36" customHeight="1" x14ac:dyDescent="0.35">
      <c r="B1" s="58" t="s">
        <v>95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2:15" ht="28" customHeight="1" x14ac:dyDescent="0.35">
      <c r="B2" s="68" t="s">
        <v>96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15" ht="10" customHeight="1" x14ac:dyDescent="0.35"/>
    <row r="4" spans="2:15" ht="24" customHeight="1" x14ac:dyDescent="0.35">
      <c r="B4" s="69" t="s">
        <v>97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</row>
    <row r="5" spans="2:15" ht="20" customHeight="1" x14ac:dyDescent="0.35">
      <c r="B5" s="14" t="s">
        <v>98</v>
      </c>
      <c r="C5" s="14" t="s">
        <v>99</v>
      </c>
      <c r="D5" s="14" t="s">
        <v>100</v>
      </c>
      <c r="E5" s="14" t="s">
        <v>101</v>
      </c>
      <c r="F5" s="14" t="s">
        <v>102</v>
      </c>
      <c r="G5" s="14" t="s">
        <v>86</v>
      </c>
      <c r="H5" s="14" t="s">
        <v>103</v>
      </c>
      <c r="I5" s="14" t="s">
        <v>104</v>
      </c>
      <c r="J5" s="14" t="s">
        <v>105</v>
      </c>
      <c r="K5" s="14" t="s">
        <v>106</v>
      </c>
      <c r="L5" s="14" t="s">
        <v>107</v>
      </c>
      <c r="M5" s="14" t="s">
        <v>108</v>
      </c>
      <c r="N5" s="14" t="s">
        <v>109</v>
      </c>
      <c r="O5" s="14" t="s">
        <v>110</v>
      </c>
    </row>
    <row r="6" spans="2:15" ht="20" customHeight="1" x14ac:dyDescent="0.35">
      <c r="B6" s="15" t="s">
        <v>56</v>
      </c>
      <c r="C6" s="16">
        <f>SUMIFS('Income Log'!$E:$E,'Income Log'!$D:$D,"Salary",'Income Log'!$B:$B,"&gt;="&amp;DATE(2024,1,1),'Income Log'!$B:$B,"&lt;"&amp;DATE(2024,2,1))</f>
        <v>85000</v>
      </c>
      <c r="D6" s="16">
        <f>SUMIFS('Income Log'!$E:$E,'Income Log'!$D:$D,"Salary",'Income Log'!$B:$B,"&gt;="&amp;DATE(2024,2,1),'Income Log'!$B:$B,"&lt;"&amp;DATE(2024,3,1))</f>
        <v>85000</v>
      </c>
      <c r="E6" s="16">
        <f>SUMIFS('Income Log'!$E:$E,'Income Log'!$D:$D,"Salary",'Income Log'!$B:$B,"&gt;="&amp;DATE(2024,3,1),'Income Log'!$B:$B,"&lt;"&amp;DATE(2024,4,1))</f>
        <v>85000</v>
      </c>
      <c r="F6" s="16">
        <f>SUMIFS('Income Log'!$E:$E,'Income Log'!$D:$D,"Salary",'Income Log'!$B:$B,"&gt;="&amp;DATE(2024,4,1),'Income Log'!$B:$B,"&lt;"&amp;DATE(2024,5,1))</f>
        <v>0</v>
      </c>
      <c r="G6" s="16">
        <f>SUMIFS('Income Log'!$E:$E,'Income Log'!$D:$D,"Salary",'Income Log'!$B:$B,"&gt;="&amp;DATE(2024,5,1),'Income Log'!$B:$B,"&lt;"&amp;DATE(2024,6,1))</f>
        <v>0</v>
      </c>
      <c r="H6" s="16">
        <f>SUMIFS('Income Log'!$E:$E,'Income Log'!$D:$D,"Salary",'Income Log'!$B:$B,"&gt;="&amp;DATE(2024,6,1),'Income Log'!$B:$B,"&lt;"&amp;DATE(2024,7,1))</f>
        <v>0</v>
      </c>
      <c r="I6" s="16">
        <f>SUMIFS('Income Log'!$E:$E,'Income Log'!$D:$D,"Salary",'Income Log'!$B:$B,"&gt;="&amp;DATE(2024,7,1),'Income Log'!$B:$B,"&lt;"&amp;DATE(2024,8,1))</f>
        <v>0</v>
      </c>
      <c r="J6" s="16">
        <f>SUMIFS('Income Log'!$E:$E,'Income Log'!$D:$D,"Salary",'Income Log'!$B:$B,"&gt;="&amp;DATE(2024,8,1),'Income Log'!$B:$B,"&lt;"&amp;DATE(2024,9,1))</f>
        <v>0</v>
      </c>
      <c r="K6" s="16">
        <f>SUMIFS('Income Log'!$E:$E,'Income Log'!$D:$D,"Salary",'Income Log'!$B:$B,"&gt;="&amp;DATE(2024,9,1),'Income Log'!$B:$B,"&lt;"&amp;DATE(2024,10,1))</f>
        <v>0</v>
      </c>
      <c r="L6" s="16">
        <f>SUMIFS('Income Log'!$E:$E,'Income Log'!$D:$D,"Salary",'Income Log'!$B:$B,"&gt;="&amp;DATE(2024,10,1),'Income Log'!$B:$B,"&lt;"&amp;DATE(2024,11,1))</f>
        <v>0</v>
      </c>
      <c r="M6" s="16">
        <f>SUMIFS('Income Log'!$E:$E,'Income Log'!$D:$D,"Salary",'Income Log'!$B:$B,"&gt;="&amp;DATE(2024,11,1),'Income Log'!$B:$B,"&lt;"&amp;DATE(2024,12,1))</f>
        <v>0</v>
      </c>
      <c r="N6" s="16">
        <f>SUMIFS('Income Log'!$E:$E,'Income Log'!$D:$D,"Salary",'Income Log'!$B:$B,"&gt;="&amp;DATE(2024,12,1),'Income Log'!$B:$B,"&lt;"&amp;DATE(2025,1,1))</f>
        <v>0</v>
      </c>
      <c r="O6" s="9">
        <f t="shared" ref="O6:O11" si="0">SUM(C6:N6)</f>
        <v>255000</v>
      </c>
    </row>
    <row r="7" spans="2:15" ht="20" customHeight="1" x14ac:dyDescent="0.35">
      <c r="B7" s="17" t="s">
        <v>58</v>
      </c>
      <c r="C7" s="11">
        <f>SUMIFS('Income Log'!$E:$E,'Income Log'!$D:$D,"Freelance",'Income Log'!$B:$B,"&gt;="&amp;DATE(2024,1,1),'Income Log'!$B:$B,"&lt;"&amp;DATE(2024,2,1))</f>
        <v>3500</v>
      </c>
      <c r="D7" s="11">
        <f>SUMIFS('Income Log'!$E:$E,'Income Log'!$D:$D,"Freelance",'Income Log'!$B:$B,"&gt;="&amp;DATE(2024,2,1),'Income Log'!$B:$B,"&lt;"&amp;DATE(2024,3,1))</f>
        <v>8000</v>
      </c>
      <c r="E7" s="11">
        <f>SUMIFS('Income Log'!$E:$E,'Income Log'!$D:$D,"Freelance",'Income Log'!$B:$B,"&gt;="&amp;DATE(2024,3,1),'Income Log'!$B:$B,"&lt;"&amp;DATE(2024,4,1))</f>
        <v>0</v>
      </c>
      <c r="F7" s="11">
        <f>SUMIFS('Income Log'!$E:$E,'Income Log'!$D:$D,"Freelance",'Income Log'!$B:$B,"&gt;="&amp;DATE(2024,4,1),'Income Log'!$B:$B,"&lt;"&amp;DATE(2024,5,1))</f>
        <v>0</v>
      </c>
      <c r="G7" s="11">
        <f>SUMIFS('Income Log'!$E:$E,'Income Log'!$D:$D,"Freelance",'Income Log'!$B:$B,"&gt;="&amp;DATE(2024,5,1),'Income Log'!$B:$B,"&lt;"&amp;DATE(2024,6,1))</f>
        <v>0</v>
      </c>
      <c r="H7" s="11">
        <f>SUMIFS('Income Log'!$E:$E,'Income Log'!$D:$D,"Freelance",'Income Log'!$B:$B,"&gt;="&amp;DATE(2024,6,1),'Income Log'!$B:$B,"&lt;"&amp;DATE(2024,7,1))</f>
        <v>0</v>
      </c>
      <c r="I7" s="11">
        <f>SUMIFS('Income Log'!$E:$E,'Income Log'!$D:$D,"Freelance",'Income Log'!$B:$B,"&gt;="&amp;DATE(2024,7,1),'Income Log'!$B:$B,"&lt;"&amp;DATE(2024,8,1))</f>
        <v>0</v>
      </c>
      <c r="J7" s="11">
        <f>SUMIFS('Income Log'!$E:$E,'Income Log'!$D:$D,"Freelance",'Income Log'!$B:$B,"&gt;="&amp;DATE(2024,8,1),'Income Log'!$B:$B,"&lt;"&amp;DATE(2024,9,1))</f>
        <v>0</v>
      </c>
      <c r="K7" s="11">
        <f>SUMIFS('Income Log'!$E:$E,'Income Log'!$D:$D,"Freelance",'Income Log'!$B:$B,"&gt;="&amp;DATE(2024,9,1),'Income Log'!$B:$B,"&lt;"&amp;DATE(2024,10,1))</f>
        <v>0</v>
      </c>
      <c r="L7" s="11">
        <f>SUMIFS('Income Log'!$E:$E,'Income Log'!$D:$D,"Freelance",'Income Log'!$B:$B,"&gt;="&amp;DATE(2024,10,1),'Income Log'!$B:$B,"&lt;"&amp;DATE(2024,11,1))</f>
        <v>0</v>
      </c>
      <c r="M7" s="11">
        <f>SUMIFS('Income Log'!$E:$E,'Income Log'!$D:$D,"Freelance",'Income Log'!$B:$B,"&gt;="&amp;DATE(2024,11,1),'Income Log'!$B:$B,"&lt;"&amp;DATE(2024,12,1))</f>
        <v>0</v>
      </c>
      <c r="N7" s="11">
        <f>SUMIFS('Income Log'!$E:$E,'Income Log'!$D:$D,"Freelance",'Income Log'!$B:$B,"&gt;="&amp;DATE(2024,12,1),'Income Log'!$B:$B,"&lt;"&amp;DATE(2025,1,1))</f>
        <v>0</v>
      </c>
      <c r="O7" s="9">
        <f t="shared" si="0"/>
        <v>11500</v>
      </c>
    </row>
    <row r="8" spans="2:15" ht="20" customHeight="1" x14ac:dyDescent="0.35">
      <c r="B8" s="15" t="s">
        <v>59</v>
      </c>
      <c r="C8" s="16">
        <f>SUMIFS('Income Log'!$E:$E,'Income Log'!$D:$D,"Rental Income",'Income Log'!$B:$B,"&gt;="&amp;DATE(2024,1,1),'Income Log'!$B:$B,"&lt;"&amp;DATE(2024,2,1))</f>
        <v>0</v>
      </c>
      <c r="D8" s="16">
        <f>SUMIFS('Income Log'!$E:$E,'Income Log'!$D:$D,"Rental Income",'Income Log'!$B:$B,"&gt;="&amp;DATE(2024,2,1),'Income Log'!$B:$B,"&lt;"&amp;DATE(2024,3,1))</f>
        <v>0</v>
      </c>
      <c r="E8" s="16">
        <f>SUMIFS('Income Log'!$E:$E,'Income Log'!$D:$D,"Rental Income",'Income Log'!$B:$B,"&gt;="&amp;DATE(2024,3,1),'Income Log'!$B:$B,"&lt;"&amp;DATE(2024,4,1))</f>
        <v>0</v>
      </c>
      <c r="F8" s="16">
        <f>SUMIFS('Income Log'!$E:$E,'Income Log'!$D:$D,"Rental Income",'Income Log'!$B:$B,"&gt;="&amp;DATE(2024,4,1),'Income Log'!$B:$B,"&lt;"&amp;DATE(2024,5,1))</f>
        <v>0</v>
      </c>
      <c r="G8" s="16">
        <f>SUMIFS('Income Log'!$E:$E,'Income Log'!$D:$D,"Rental Income",'Income Log'!$B:$B,"&gt;="&amp;DATE(2024,5,1),'Income Log'!$B:$B,"&lt;"&amp;DATE(2024,6,1))</f>
        <v>0</v>
      </c>
      <c r="H8" s="16">
        <f>SUMIFS('Income Log'!$E:$E,'Income Log'!$D:$D,"Rental Income",'Income Log'!$B:$B,"&gt;="&amp;DATE(2024,6,1),'Income Log'!$B:$B,"&lt;"&amp;DATE(2024,7,1))</f>
        <v>0</v>
      </c>
      <c r="I8" s="16">
        <f>SUMIFS('Income Log'!$E:$E,'Income Log'!$D:$D,"Rental Income",'Income Log'!$B:$B,"&gt;="&amp;DATE(2024,7,1),'Income Log'!$B:$B,"&lt;"&amp;DATE(2024,8,1))</f>
        <v>0</v>
      </c>
      <c r="J8" s="16">
        <f>SUMIFS('Income Log'!$E:$E,'Income Log'!$D:$D,"Rental Income",'Income Log'!$B:$B,"&gt;="&amp;DATE(2024,8,1),'Income Log'!$B:$B,"&lt;"&amp;DATE(2024,9,1))</f>
        <v>0</v>
      </c>
      <c r="K8" s="16">
        <f>SUMIFS('Income Log'!$E:$E,'Income Log'!$D:$D,"Rental Income",'Income Log'!$B:$B,"&gt;="&amp;DATE(2024,9,1),'Income Log'!$B:$B,"&lt;"&amp;DATE(2024,10,1))</f>
        <v>0</v>
      </c>
      <c r="L8" s="16">
        <f>SUMIFS('Income Log'!$E:$E,'Income Log'!$D:$D,"Rental Income",'Income Log'!$B:$B,"&gt;="&amp;DATE(2024,10,1),'Income Log'!$B:$B,"&lt;"&amp;DATE(2024,11,1))</f>
        <v>0</v>
      </c>
      <c r="M8" s="16">
        <f>SUMIFS('Income Log'!$E:$E,'Income Log'!$D:$D,"Rental Income",'Income Log'!$B:$B,"&gt;="&amp;DATE(2024,11,1),'Income Log'!$B:$B,"&lt;"&amp;DATE(2024,12,1))</f>
        <v>0</v>
      </c>
      <c r="N8" s="16">
        <f>SUMIFS('Income Log'!$E:$E,'Income Log'!$D:$D,"Rental Income",'Income Log'!$B:$B,"&gt;="&amp;DATE(2024,12,1),'Income Log'!$B:$B,"&lt;"&amp;DATE(2025,1,1))</f>
        <v>0</v>
      </c>
      <c r="O8" s="9">
        <f t="shared" si="0"/>
        <v>0</v>
      </c>
    </row>
    <row r="9" spans="2:15" ht="20" customHeight="1" x14ac:dyDescent="0.35">
      <c r="B9" s="17" t="s">
        <v>60</v>
      </c>
      <c r="C9" s="11">
        <f>SUMIFS('Income Log'!$E:$E,'Income Log'!$D:$D,"Dividends",'Income Log'!$B:$B,"&gt;="&amp;DATE(2024,1,1),'Income Log'!$B:$B,"&lt;"&amp;DATE(2024,2,1))</f>
        <v>420</v>
      </c>
      <c r="D9" s="11">
        <f>SUMIFS('Income Log'!$E:$E,'Income Log'!$D:$D,"Dividends",'Income Log'!$B:$B,"&gt;="&amp;DATE(2024,2,1),'Income Log'!$B:$B,"&lt;"&amp;DATE(2024,3,1))</f>
        <v>0</v>
      </c>
      <c r="E9" s="11">
        <f>SUMIFS('Income Log'!$E:$E,'Income Log'!$D:$D,"Dividends",'Income Log'!$B:$B,"&gt;="&amp;DATE(2024,3,1),'Income Log'!$B:$B,"&lt;"&amp;DATE(2024,4,1))</f>
        <v>0</v>
      </c>
      <c r="F9" s="11">
        <f>SUMIFS('Income Log'!$E:$E,'Income Log'!$D:$D,"Dividends",'Income Log'!$B:$B,"&gt;="&amp;DATE(2024,4,1),'Income Log'!$B:$B,"&lt;"&amp;DATE(2024,5,1))</f>
        <v>0</v>
      </c>
      <c r="G9" s="11">
        <f>SUMIFS('Income Log'!$E:$E,'Income Log'!$D:$D,"Dividends",'Income Log'!$B:$B,"&gt;="&amp;DATE(2024,5,1),'Income Log'!$B:$B,"&lt;"&amp;DATE(2024,6,1))</f>
        <v>0</v>
      </c>
      <c r="H9" s="11">
        <f>SUMIFS('Income Log'!$E:$E,'Income Log'!$D:$D,"Dividends",'Income Log'!$B:$B,"&gt;="&amp;DATE(2024,6,1),'Income Log'!$B:$B,"&lt;"&amp;DATE(2024,7,1))</f>
        <v>0</v>
      </c>
      <c r="I9" s="11">
        <f>SUMIFS('Income Log'!$E:$E,'Income Log'!$D:$D,"Dividends",'Income Log'!$B:$B,"&gt;="&amp;DATE(2024,7,1),'Income Log'!$B:$B,"&lt;"&amp;DATE(2024,8,1))</f>
        <v>0</v>
      </c>
      <c r="J9" s="11">
        <f>SUMIFS('Income Log'!$E:$E,'Income Log'!$D:$D,"Dividends",'Income Log'!$B:$B,"&gt;="&amp;DATE(2024,8,1),'Income Log'!$B:$B,"&lt;"&amp;DATE(2024,9,1))</f>
        <v>0</v>
      </c>
      <c r="K9" s="11">
        <f>SUMIFS('Income Log'!$E:$E,'Income Log'!$D:$D,"Dividends",'Income Log'!$B:$B,"&gt;="&amp;DATE(2024,9,1),'Income Log'!$B:$B,"&lt;"&amp;DATE(2024,10,1))</f>
        <v>0</v>
      </c>
      <c r="L9" s="11">
        <f>SUMIFS('Income Log'!$E:$E,'Income Log'!$D:$D,"Dividends",'Income Log'!$B:$B,"&gt;="&amp;DATE(2024,10,1),'Income Log'!$B:$B,"&lt;"&amp;DATE(2024,11,1))</f>
        <v>0</v>
      </c>
      <c r="M9" s="11">
        <f>SUMIFS('Income Log'!$E:$E,'Income Log'!$D:$D,"Dividends",'Income Log'!$B:$B,"&gt;="&amp;DATE(2024,11,1),'Income Log'!$B:$B,"&lt;"&amp;DATE(2024,12,1))</f>
        <v>0</v>
      </c>
      <c r="N9" s="11">
        <f>SUMIFS('Income Log'!$E:$E,'Income Log'!$D:$D,"Dividends",'Income Log'!$B:$B,"&gt;="&amp;DATE(2024,12,1),'Income Log'!$B:$B,"&lt;"&amp;DATE(2025,1,1))</f>
        <v>0</v>
      </c>
      <c r="O9" s="9">
        <f t="shared" si="0"/>
        <v>420</v>
      </c>
    </row>
    <row r="10" spans="2:15" ht="20" customHeight="1" x14ac:dyDescent="0.35">
      <c r="B10" s="15" t="s">
        <v>61</v>
      </c>
      <c r="C10" s="16">
        <f>SUMIFS('Income Log'!$E:$E,'Income Log'!$D:$D,"Bonus",'Income Log'!$B:$B,"&gt;="&amp;DATE(2024,1,1),'Income Log'!$B:$B,"&lt;"&amp;DATE(2024,2,1))</f>
        <v>0</v>
      </c>
      <c r="D10" s="16">
        <f>SUMIFS('Income Log'!$E:$E,'Income Log'!$D:$D,"Bonus",'Income Log'!$B:$B,"&gt;="&amp;DATE(2024,2,1),'Income Log'!$B:$B,"&lt;"&amp;DATE(2024,3,1))</f>
        <v>0</v>
      </c>
      <c r="E10" s="16">
        <f>SUMIFS('Income Log'!$E:$E,'Income Log'!$D:$D,"Bonus",'Income Log'!$B:$B,"&gt;="&amp;DATE(2024,3,1),'Income Log'!$B:$B,"&lt;"&amp;DATE(2024,4,1))</f>
        <v>15000</v>
      </c>
      <c r="F10" s="16">
        <f>SUMIFS('Income Log'!$E:$E,'Income Log'!$D:$D,"Bonus",'Income Log'!$B:$B,"&gt;="&amp;DATE(2024,4,1),'Income Log'!$B:$B,"&lt;"&amp;DATE(2024,5,1))</f>
        <v>0</v>
      </c>
      <c r="G10" s="16">
        <f>SUMIFS('Income Log'!$E:$E,'Income Log'!$D:$D,"Bonus",'Income Log'!$B:$B,"&gt;="&amp;DATE(2024,5,1),'Income Log'!$B:$B,"&lt;"&amp;DATE(2024,6,1))</f>
        <v>0</v>
      </c>
      <c r="H10" s="16">
        <f>SUMIFS('Income Log'!$E:$E,'Income Log'!$D:$D,"Bonus",'Income Log'!$B:$B,"&gt;="&amp;DATE(2024,6,1),'Income Log'!$B:$B,"&lt;"&amp;DATE(2024,7,1))</f>
        <v>0</v>
      </c>
      <c r="I10" s="16">
        <f>SUMIFS('Income Log'!$E:$E,'Income Log'!$D:$D,"Bonus",'Income Log'!$B:$B,"&gt;="&amp;DATE(2024,7,1),'Income Log'!$B:$B,"&lt;"&amp;DATE(2024,8,1))</f>
        <v>0</v>
      </c>
      <c r="J10" s="16">
        <f>SUMIFS('Income Log'!$E:$E,'Income Log'!$D:$D,"Bonus",'Income Log'!$B:$B,"&gt;="&amp;DATE(2024,8,1),'Income Log'!$B:$B,"&lt;"&amp;DATE(2024,9,1))</f>
        <v>0</v>
      </c>
      <c r="K10" s="16">
        <f>SUMIFS('Income Log'!$E:$E,'Income Log'!$D:$D,"Bonus",'Income Log'!$B:$B,"&gt;="&amp;DATE(2024,9,1),'Income Log'!$B:$B,"&lt;"&amp;DATE(2024,10,1))</f>
        <v>0</v>
      </c>
      <c r="L10" s="16">
        <f>SUMIFS('Income Log'!$E:$E,'Income Log'!$D:$D,"Bonus",'Income Log'!$B:$B,"&gt;="&amp;DATE(2024,10,1),'Income Log'!$B:$B,"&lt;"&amp;DATE(2024,11,1))</f>
        <v>0</v>
      </c>
      <c r="M10" s="16">
        <f>SUMIFS('Income Log'!$E:$E,'Income Log'!$D:$D,"Bonus",'Income Log'!$B:$B,"&gt;="&amp;DATE(2024,11,1),'Income Log'!$B:$B,"&lt;"&amp;DATE(2024,12,1))</f>
        <v>0</v>
      </c>
      <c r="N10" s="16">
        <f>SUMIFS('Income Log'!$E:$E,'Income Log'!$D:$D,"Bonus",'Income Log'!$B:$B,"&gt;="&amp;DATE(2024,12,1),'Income Log'!$B:$B,"&lt;"&amp;DATE(2025,1,1))</f>
        <v>0</v>
      </c>
      <c r="O10" s="9">
        <f t="shared" si="0"/>
        <v>15000</v>
      </c>
    </row>
    <row r="11" spans="2:15" ht="20" customHeight="1" x14ac:dyDescent="0.35">
      <c r="B11" s="17" t="s">
        <v>62</v>
      </c>
      <c r="C11" s="11">
        <f>SUMIFS('Income Log'!$E:$E,'Income Log'!$D:$D,"Other Income",'Income Log'!$B:$B,"&gt;="&amp;DATE(2024,1,1),'Income Log'!$B:$B,"&lt;"&amp;DATE(2024,2,1))</f>
        <v>0</v>
      </c>
      <c r="D11" s="11">
        <f>SUMIFS('Income Log'!$E:$E,'Income Log'!$D:$D,"Other Income",'Income Log'!$B:$B,"&gt;="&amp;DATE(2024,2,1),'Income Log'!$B:$B,"&lt;"&amp;DATE(2024,3,1))</f>
        <v>0</v>
      </c>
      <c r="E11" s="11">
        <f>SUMIFS('Income Log'!$E:$E,'Income Log'!$D:$D,"Other Income",'Income Log'!$B:$B,"&gt;="&amp;DATE(2024,3,1),'Income Log'!$B:$B,"&lt;"&amp;DATE(2024,4,1))</f>
        <v>0</v>
      </c>
      <c r="F11" s="11">
        <f>SUMIFS('Income Log'!$E:$E,'Income Log'!$D:$D,"Other Income",'Income Log'!$B:$B,"&gt;="&amp;DATE(2024,4,1),'Income Log'!$B:$B,"&lt;"&amp;DATE(2024,5,1))</f>
        <v>0</v>
      </c>
      <c r="G11" s="11">
        <f>SUMIFS('Income Log'!$E:$E,'Income Log'!$D:$D,"Other Income",'Income Log'!$B:$B,"&gt;="&amp;DATE(2024,5,1),'Income Log'!$B:$B,"&lt;"&amp;DATE(2024,6,1))</f>
        <v>0</v>
      </c>
      <c r="H11" s="11">
        <f>SUMIFS('Income Log'!$E:$E,'Income Log'!$D:$D,"Other Income",'Income Log'!$B:$B,"&gt;="&amp;DATE(2024,6,1),'Income Log'!$B:$B,"&lt;"&amp;DATE(2024,7,1))</f>
        <v>0</v>
      </c>
      <c r="I11" s="11">
        <f>SUMIFS('Income Log'!$E:$E,'Income Log'!$D:$D,"Other Income",'Income Log'!$B:$B,"&gt;="&amp;DATE(2024,7,1),'Income Log'!$B:$B,"&lt;"&amp;DATE(2024,8,1))</f>
        <v>0</v>
      </c>
      <c r="J11" s="11">
        <f>SUMIFS('Income Log'!$E:$E,'Income Log'!$D:$D,"Other Income",'Income Log'!$B:$B,"&gt;="&amp;DATE(2024,8,1),'Income Log'!$B:$B,"&lt;"&amp;DATE(2024,9,1))</f>
        <v>0</v>
      </c>
      <c r="K11" s="11">
        <f>SUMIFS('Income Log'!$E:$E,'Income Log'!$D:$D,"Other Income",'Income Log'!$B:$B,"&gt;="&amp;DATE(2024,9,1),'Income Log'!$B:$B,"&lt;"&amp;DATE(2024,10,1))</f>
        <v>0</v>
      </c>
      <c r="L11" s="11">
        <f>SUMIFS('Income Log'!$E:$E,'Income Log'!$D:$D,"Other Income",'Income Log'!$B:$B,"&gt;="&amp;DATE(2024,10,1),'Income Log'!$B:$B,"&lt;"&amp;DATE(2024,11,1))</f>
        <v>0</v>
      </c>
      <c r="M11" s="11">
        <f>SUMIFS('Income Log'!$E:$E,'Income Log'!$D:$D,"Other Income",'Income Log'!$B:$B,"&gt;="&amp;DATE(2024,11,1),'Income Log'!$B:$B,"&lt;"&amp;DATE(2024,12,1))</f>
        <v>0</v>
      </c>
      <c r="N11" s="11">
        <f>SUMIFS('Income Log'!$E:$E,'Income Log'!$D:$D,"Other Income",'Income Log'!$B:$B,"&gt;="&amp;DATE(2024,12,1),'Income Log'!$B:$B,"&lt;"&amp;DATE(2025,1,1))</f>
        <v>0</v>
      </c>
      <c r="O11" s="9">
        <f t="shared" si="0"/>
        <v>0</v>
      </c>
    </row>
    <row r="12" spans="2:15" ht="24" customHeight="1" x14ac:dyDescent="0.35">
      <c r="B12" s="18" t="s">
        <v>111</v>
      </c>
      <c r="C12" s="19">
        <f t="shared" ref="C12:O12" si="1">SUM(C6:C11)</f>
        <v>88920</v>
      </c>
      <c r="D12" s="19">
        <f t="shared" si="1"/>
        <v>93000</v>
      </c>
      <c r="E12" s="19">
        <f t="shared" si="1"/>
        <v>100000</v>
      </c>
      <c r="F12" s="19">
        <f t="shared" si="1"/>
        <v>0</v>
      </c>
      <c r="G12" s="19">
        <f t="shared" si="1"/>
        <v>0</v>
      </c>
      <c r="H12" s="19">
        <f t="shared" si="1"/>
        <v>0</v>
      </c>
      <c r="I12" s="19">
        <f t="shared" si="1"/>
        <v>0</v>
      </c>
      <c r="J12" s="19">
        <f t="shared" si="1"/>
        <v>0</v>
      </c>
      <c r="K12" s="19">
        <f t="shared" si="1"/>
        <v>0</v>
      </c>
      <c r="L12" s="19">
        <f t="shared" si="1"/>
        <v>0</v>
      </c>
      <c r="M12" s="19">
        <f t="shared" si="1"/>
        <v>0</v>
      </c>
      <c r="N12" s="19">
        <f t="shared" si="1"/>
        <v>0</v>
      </c>
      <c r="O12" s="19">
        <f t="shared" si="1"/>
        <v>281920</v>
      </c>
    </row>
    <row r="13" spans="2:15" ht="10" customHeight="1" x14ac:dyDescent="0.35"/>
    <row r="14" spans="2:15" ht="24" customHeight="1" x14ac:dyDescent="0.35">
      <c r="B14" s="67" t="s">
        <v>112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</row>
    <row r="15" spans="2:15" ht="20" customHeight="1" x14ac:dyDescent="0.35">
      <c r="B15" s="20" t="s">
        <v>113</v>
      </c>
      <c r="C15" s="20" t="s">
        <v>99</v>
      </c>
      <c r="D15" s="20" t="s">
        <v>100</v>
      </c>
      <c r="E15" s="20" t="s">
        <v>101</v>
      </c>
      <c r="F15" s="20" t="s">
        <v>102</v>
      </c>
      <c r="G15" s="20" t="s">
        <v>86</v>
      </c>
      <c r="H15" s="20" t="s">
        <v>103</v>
      </c>
      <c r="I15" s="20" t="s">
        <v>104</v>
      </c>
      <c r="J15" s="20" t="s">
        <v>105</v>
      </c>
      <c r="K15" s="20" t="s">
        <v>106</v>
      </c>
      <c r="L15" s="20" t="s">
        <v>107</v>
      </c>
      <c r="M15" s="20" t="s">
        <v>108</v>
      </c>
      <c r="N15" s="20" t="s">
        <v>109</v>
      </c>
      <c r="O15" s="20" t="s">
        <v>110</v>
      </c>
    </row>
    <row r="16" spans="2:15" ht="20" customHeight="1" x14ac:dyDescent="0.35">
      <c r="B16" s="21" t="s">
        <v>43</v>
      </c>
      <c r="C16" s="22">
        <f>SUMIFS('Expense Log'!$E:$E,'Expense Log'!$D:$D,"Housing",'Expense Log'!$B:$B,"&gt;="&amp;DATE(2024,1,1),'Expense Log'!$B:$B,"&lt;"&amp;DATE(2024,2,1))</f>
        <v>18000</v>
      </c>
      <c r="D16" s="22">
        <f>SUMIFS('Expense Log'!$E:$E,'Expense Log'!$D:$D,"Housing",'Expense Log'!$B:$B,"&gt;="&amp;DATE(2024,2,1),'Expense Log'!$B:$B,"&lt;"&amp;DATE(2024,3,1))</f>
        <v>18000</v>
      </c>
      <c r="E16" s="22">
        <f>SUMIFS('Expense Log'!$E:$E,'Expense Log'!$D:$D,"Housing",'Expense Log'!$B:$B,"&gt;="&amp;DATE(2024,3,1),'Expense Log'!$B:$B,"&lt;"&amp;DATE(2024,4,1))</f>
        <v>18000</v>
      </c>
      <c r="F16" s="22">
        <f>SUMIFS('Expense Log'!$E:$E,'Expense Log'!$D:$D,"Housing",'Expense Log'!$B:$B,"&gt;="&amp;DATE(2024,4,1),'Expense Log'!$B:$B,"&lt;"&amp;DATE(2024,5,1))</f>
        <v>0</v>
      </c>
      <c r="G16" s="22">
        <f>SUMIFS('Expense Log'!$E:$E,'Expense Log'!$D:$D,"Housing",'Expense Log'!$B:$B,"&gt;="&amp;DATE(2024,5,1),'Expense Log'!$B:$B,"&lt;"&amp;DATE(2024,6,1))</f>
        <v>0</v>
      </c>
      <c r="H16" s="22">
        <f>SUMIFS('Expense Log'!$E:$E,'Expense Log'!$D:$D,"Housing",'Expense Log'!$B:$B,"&gt;="&amp;DATE(2024,6,1),'Expense Log'!$B:$B,"&lt;"&amp;DATE(2024,7,1))</f>
        <v>0</v>
      </c>
      <c r="I16" s="22">
        <f>SUMIFS('Expense Log'!$E:$E,'Expense Log'!$D:$D,"Housing",'Expense Log'!$B:$B,"&gt;="&amp;DATE(2024,7,1),'Expense Log'!$B:$B,"&lt;"&amp;DATE(2024,8,1))</f>
        <v>0</v>
      </c>
      <c r="J16" s="22">
        <f>SUMIFS('Expense Log'!$E:$E,'Expense Log'!$D:$D,"Housing",'Expense Log'!$B:$B,"&gt;="&amp;DATE(2024,8,1),'Expense Log'!$B:$B,"&lt;"&amp;DATE(2024,9,1))</f>
        <v>0</v>
      </c>
      <c r="K16" s="22">
        <f>SUMIFS('Expense Log'!$E:$E,'Expense Log'!$D:$D,"Housing",'Expense Log'!$B:$B,"&gt;="&amp;DATE(2024,9,1),'Expense Log'!$B:$B,"&lt;"&amp;DATE(2024,10,1))</f>
        <v>0</v>
      </c>
      <c r="L16" s="22">
        <f>SUMIFS('Expense Log'!$E:$E,'Expense Log'!$D:$D,"Housing",'Expense Log'!$B:$B,"&gt;="&amp;DATE(2024,10,1),'Expense Log'!$B:$B,"&lt;"&amp;DATE(2024,11,1))</f>
        <v>0</v>
      </c>
      <c r="M16" s="22">
        <f>SUMIFS('Expense Log'!$E:$E,'Expense Log'!$D:$D,"Housing",'Expense Log'!$B:$B,"&gt;="&amp;DATE(2024,11,1),'Expense Log'!$B:$B,"&lt;"&amp;DATE(2024,12,1))</f>
        <v>0</v>
      </c>
      <c r="N16" s="22">
        <f>SUMIFS('Expense Log'!$E:$E,'Expense Log'!$D:$D,"Housing",'Expense Log'!$B:$B,"&gt;="&amp;DATE(2024,12,1),'Expense Log'!$B:$B,"&lt;"&amp;DATE(2025,1,1))</f>
        <v>0</v>
      </c>
      <c r="O16" s="23">
        <f t="shared" ref="O16:O26" si="2">SUM(C16:N16)</f>
        <v>54000</v>
      </c>
    </row>
    <row r="17" spans="2:15" ht="20" customHeight="1" x14ac:dyDescent="0.35">
      <c r="B17" s="24" t="s">
        <v>45</v>
      </c>
      <c r="C17" s="11">
        <f>SUMIFS('Expense Log'!$E:$E,'Expense Log'!$D:$D,"Food and Groceries",'Expense Log'!$B:$B,"&gt;="&amp;DATE(2024,1,1),'Expense Log'!$B:$B,"&lt;"&amp;DATE(2024,2,1))</f>
        <v>3650</v>
      </c>
      <c r="D17" s="11">
        <f>SUMIFS('Expense Log'!$E:$E,'Expense Log'!$D:$D,"Food and Groceries",'Expense Log'!$B:$B,"&gt;="&amp;DATE(2024,2,1),'Expense Log'!$B:$B,"&lt;"&amp;DATE(2024,3,1))</f>
        <v>2800</v>
      </c>
      <c r="E17" s="11">
        <f>SUMIFS('Expense Log'!$E:$E,'Expense Log'!$D:$D,"Food and Groceries",'Expense Log'!$B:$B,"&gt;="&amp;DATE(2024,3,1),'Expense Log'!$B:$B,"&lt;"&amp;DATE(2024,4,1))</f>
        <v>0</v>
      </c>
      <c r="F17" s="11">
        <f>SUMIFS('Expense Log'!$E:$E,'Expense Log'!$D:$D,"Food and Groceries",'Expense Log'!$B:$B,"&gt;="&amp;DATE(2024,4,1),'Expense Log'!$B:$B,"&lt;"&amp;DATE(2024,5,1))</f>
        <v>0</v>
      </c>
      <c r="G17" s="11">
        <f>SUMIFS('Expense Log'!$E:$E,'Expense Log'!$D:$D,"Food and Groceries",'Expense Log'!$B:$B,"&gt;="&amp;DATE(2024,5,1),'Expense Log'!$B:$B,"&lt;"&amp;DATE(2024,6,1))</f>
        <v>0</v>
      </c>
      <c r="H17" s="11">
        <f>SUMIFS('Expense Log'!$E:$E,'Expense Log'!$D:$D,"Food and Groceries",'Expense Log'!$B:$B,"&gt;="&amp;DATE(2024,6,1),'Expense Log'!$B:$B,"&lt;"&amp;DATE(2024,7,1))</f>
        <v>0</v>
      </c>
      <c r="I17" s="11">
        <f>SUMIFS('Expense Log'!$E:$E,'Expense Log'!$D:$D,"Food and Groceries",'Expense Log'!$B:$B,"&gt;="&amp;DATE(2024,7,1),'Expense Log'!$B:$B,"&lt;"&amp;DATE(2024,8,1))</f>
        <v>0</v>
      </c>
      <c r="J17" s="11">
        <f>SUMIFS('Expense Log'!$E:$E,'Expense Log'!$D:$D,"Food and Groceries",'Expense Log'!$B:$B,"&gt;="&amp;DATE(2024,8,1),'Expense Log'!$B:$B,"&lt;"&amp;DATE(2024,9,1))</f>
        <v>0</v>
      </c>
      <c r="K17" s="11">
        <f>SUMIFS('Expense Log'!$E:$E,'Expense Log'!$D:$D,"Food and Groceries",'Expense Log'!$B:$B,"&gt;="&amp;DATE(2024,9,1),'Expense Log'!$B:$B,"&lt;"&amp;DATE(2024,10,1))</f>
        <v>0</v>
      </c>
      <c r="L17" s="11">
        <f>SUMIFS('Expense Log'!$E:$E,'Expense Log'!$D:$D,"Food and Groceries",'Expense Log'!$B:$B,"&gt;="&amp;DATE(2024,10,1),'Expense Log'!$B:$B,"&lt;"&amp;DATE(2024,11,1))</f>
        <v>0</v>
      </c>
      <c r="M17" s="11">
        <f>SUMIFS('Expense Log'!$E:$E,'Expense Log'!$D:$D,"Food and Groceries",'Expense Log'!$B:$B,"&gt;="&amp;DATE(2024,11,1),'Expense Log'!$B:$B,"&lt;"&amp;DATE(2024,12,1))</f>
        <v>0</v>
      </c>
      <c r="N17" s="11">
        <f>SUMIFS('Expense Log'!$E:$E,'Expense Log'!$D:$D,"Food and Groceries",'Expense Log'!$B:$B,"&gt;="&amp;DATE(2024,12,1),'Expense Log'!$B:$B,"&lt;"&amp;DATE(2025,1,1))</f>
        <v>0</v>
      </c>
      <c r="O17" s="23">
        <f t="shared" si="2"/>
        <v>6450</v>
      </c>
    </row>
    <row r="18" spans="2:15" ht="20" customHeight="1" x14ac:dyDescent="0.35">
      <c r="B18" s="21" t="s">
        <v>46</v>
      </c>
      <c r="C18" s="22">
        <f>SUMIFS('Expense Log'!$E:$E,'Expense Log'!$D:$D,"Transport",'Expense Log'!$B:$B,"&gt;="&amp;DATE(2024,1,1),'Expense Log'!$B:$B,"&lt;"&amp;DATE(2024,2,1))</f>
        <v>1600</v>
      </c>
      <c r="D18" s="22">
        <f>SUMIFS('Expense Log'!$E:$E,'Expense Log'!$D:$D,"Transport",'Expense Log'!$B:$B,"&gt;="&amp;DATE(2024,2,1),'Expense Log'!$B:$B,"&lt;"&amp;DATE(2024,3,1))</f>
        <v>0</v>
      </c>
      <c r="E18" s="22">
        <f>SUMIFS('Expense Log'!$E:$E,'Expense Log'!$D:$D,"Transport",'Expense Log'!$B:$B,"&gt;="&amp;DATE(2024,3,1),'Expense Log'!$B:$B,"&lt;"&amp;DATE(2024,4,1))</f>
        <v>0</v>
      </c>
      <c r="F18" s="22">
        <f>SUMIFS('Expense Log'!$E:$E,'Expense Log'!$D:$D,"Transport",'Expense Log'!$B:$B,"&gt;="&amp;DATE(2024,4,1),'Expense Log'!$B:$B,"&lt;"&amp;DATE(2024,5,1))</f>
        <v>0</v>
      </c>
      <c r="G18" s="22">
        <f>SUMIFS('Expense Log'!$E:$E,'Expense Log'!$D:$D,"Transport",'Expense Log'!$B:$B,"&gt;="&amp;DATE(2024,5,1),'Expense Log'!$B:$B,"&lt;"&amp;DATE(2024,6,1))</f>
        <v>0</v>
      </c>
      <c r="H18" s="22">
        <f>SUMIFS('Expense Log'!$E:$E,'Expense Log'!$D:$D,"Transport",'Expense Log'!$B:$B,"&gt;="&amp;DATE(2024,6,1),'Expense Log'!$B:$B,"&lt;"&amp;DATE(2024,7,1))</f>
        <v>0</v>
      </c>
      <c r="I18" s="22">
        <f>SUMIFS('Expense Log'!$E:$E,'Expense Log'!$D:$D,"Transport",'Expense Log'!$B:$B,"&gt;="&amp;DATE(2024,7,1),'Expense Log'!$B:$B,"&lt;"&amp;DATE(2024,8,1))</f>
        <v>0</v>
      </c>
      <c r="J18" s="22">
        <f>SUMIFS('Expense Log'!$E:$E,'Expense Log'!$D:$D,"Transport",'Expense Log'!$B:$B,"&gt;="&amp;DATE(2024,8,1),'Expense Log'!$B:$B,"&lt;"&amp;DATE(2024,9,1))</f>
        <v>0</v>
      </c>
      <c r="K18" s="22">
        <f>SUMIFS('Expense Log'!$E:$E,'Expense Log'!$D:$D,"Transport",'Expense Log'!$B:$B,"&gt;="&amp;DATE(2024,9,1),'Expense Log'!$B:$B,"&lt;"&amp;DATE(2024,10,1))</f>
        <v>0</v>
      </c>
      <c r="L18" s="22">
        <f>SUMIFS('Expense Log'!$E:$E,'Expense Log'!$D:$D,"Transport",'Expense Log'!$B:$B,"&gt;="&amp;DATE(2024,10,1),'Expense Log'!$B:$B,"&lt;"&amp;DATE(2024,11,1))</f>
        <v>0</v>
      </c>
      <c r="M18" s="22">
        <f>SUMIFS('Expense Log'!$E:$E,'Expense Log'!$D:$D,"Transport",'Expense Log'!$B:$B,"&gt;="&amp;DATE(2024,11,1),'Expense Log'!$B:$B,"&lt;"&amp;DATE(2024,12,1))</f>
        <v>0</v>
      </c>
      <c r="N18" s="22">
        <f>SUMIFS('Expense Log'!$E:$E,'Expense Log'!$D:$D,"Transport",'Expense Log'!$B:$B,"&gt;="&amp;DATE(2024,12,1),'Expense Log'!$B:$B,"&lt;"&amp;DATE(2025,1,1))</f>
        <v>0</v>
      </c>
      <c r="O18" s="23">
        <f t="shared" si="2"/>
        <v>1600</v>
      </c>
    </row>
    <row r="19" spans="2:15" ht="20" customHeight="1" x14ac:dyDescent="0.35">
      <c r="B19" s="24" t="s">
        <v>47</v>
      </c>
      <c r="C19" s="11">
        <f>SUMIFS('Expense Log'!$E:$E,'Expense Log'!$D:$D,"Health and Medical",'Expense Log'!$B:$B,"&gt;="&amp;DATE(2024,1,1),'Expense Log'!$B:$B,"&lt;"&amp;DATE(2024,2,1))</f>
        <v>700</v>
      </c>
      <c r="D19" s="11">
        <f>SUMIFS('Expense Log'!$E:$E,'Expense Log'!$D:$D,"Health and Medical",'Expense Log'!$B:$B,"&gt;="&amp;DATE(2024,2,1),'Expense Log'!$B:$B,"&lt;"&amp;DATE(2024,3,1))</f>
        <v>0</v>
      </c>
      <c r="E19" s="11">
        <f>SUMIFS('Expense Log'!$E:$E,'Expense Log'!$D:$D,"Health and Medical",'Expense Log'!$B:$B,"&gt;="&amp;DATE(2024,3,1),'Expense Log'!$B:$B,"&lt;"&amp;DATE(2024,4,1))</f>
        <v>0</v>
      </c>
      <c r="F19" s="11">
        <f>SUMIFS('Expense Log'!$E:$E,'Expense Log'!$D:$D,"Health and Medical",'Expense Log'!$B:$B,"&gt;="&amp;DATE(2024,4,1),'Expense Log'!$B:$B,"&lt;"&amp;DATE(2024,5,1))</f>
        <v>0</v>
      </c>
      <c r="G19" s="11">
        <f>SUMIFS('Expense Log'!$E:$E,'Expense Log'!$D:$D,"Health and Medical",'Expense Log'!$B:$B,"&gt;="&amp;DATE(2024,5,1),'Expense Log'!$B:$B,"&lt;"&amp;DATE(2024,6,1))</f>
        <v>0</v>
      </c>
      <c r="H19" s="11">
        <f>SUMIFS('Expense Log'!$E:$E,'Expense Log'!$D:$D,"Health and Medical",'Expense Log'!$B:$B,"&gt;="&amp;DATE(2024,6,1),'Expense Log'!$B:$B,"&lt;"&amp;DATE(2024,7,1))</f>
        <v>0</v>
      </c>
      <c r="I19" s="11">
        <f>SUMIFS('Expense Log'!$E:$E,'Expense Log'!$D:$D,"Health and Medical",'Expense Log'!$B:$B,"&gt;="&amp;DATE(2024,7,1),'Expense Log'!$B:$B,"&lt;"&amp;DATE(2024,8,1))</f>
        <v>0</v>
      </c>
      <c r="J19" s="11">
        <f>SUMIFS('Expense Log'!$E:$E,'Expense Log'!$D:$D,"Health and Medical",'Expense Log'!$B:$B,"&gt;="&amp;DATE(2024,8,1),'Expense Log'!$B:$B,"&lt;"&amp;DATE(2024,9,1))</f>
        <v>0</v>
      </c>
      <c r="K19" s="11">
        <f>SUMIFS('Expense Log'!$E:$E,'Expense Log'!$D:$D,"Health and Medical",'Expense Log'!$B:$B,"&gt;="&amp;DATE(2024,9,1),'Expense Log'!$B:$B,"&lt;"&amp;DATE(2024,10,1))</f>
        <v>0</v>
      </c>
      <c r="L19" s="11">
        <f>SUMIFS('Expense Log'!$E:$E,'Expense Log'!$D:$D,"Health and Medical",'Expense Log'!$B:$B,"&gt;="&amp;DATE(2024,10,1),'Expense Log'!$B:$B,"&lt;"&amp;DATE(2024,11,1))</f>
        <v>0</v>
      </c>
      <c r="M19" s="11">
        <f>SUMIFS('Expense Log'!$E:$E,'Expense Log'!$D:$D,"Health and Medical",'Expense Log'!$B:$B,"&gt;="&amp;DATE(2024,11,1),'Expense Log'!$B:$B,"&lt;"&amp;DATE(2024,12,1))</f>
        <v>0</v>
      </c>
      <c r="N19" s="11">
        <f>SUMIFS('Expense Log'!$E:$E,'Expense Log'!$D:$D,"Health and Medical",'Expense Log'!$B:$B,"&gt;="&amp;DATE(2024,12,1),'Expense Log'!$B:$B,"&lt;"&amp;DATE(2025,1,1))</f>
        <v>0</v>
      </c>
      <c r="O19" s="23">
        <f t="shared" si="2"/>
        <v>700</v>
      </c>
    </row>
    <row r="20" spans="2:15" ht="20" customHeight="1" x14ac:dyDescent="0.35">
      <c r="B20" s="21" t="s">
        <v>48</v>
      </c>
      <c r="C20" s="22">
        <f>SUMIFS('Expense Log'!$E:$E,'Expense Log'!$D:$D,"Education",'Expense Log'!$B:$B,"&gt;="&amp;DATE(2024,1,1),'Expense Log'!$B:$B,"&lt;"&amp;DATE(2024,2,1))</f>
        <v>499</v>
      </c>
      <c r="D20" s="22">
        <f>SUMIFS('Expense Log'!$E:$E,'Expense Log'!$D:$D,"Education",'Expense Log'!$B:$B,"&gt;="&amp;DATE(2024,2,1),'Expense Log'!$B:$B,"&lt;"&amp;DATE(2024,3,1))</f>
        <v>0</v>
      </c>
      <c r="E20" s="22">
        <f>SUMIFS('Expense Log'!$E:$E,'Expense Log'!$D:$D,"Education",'Expense Log'!$B:$B,"&gt;="&amp;DATE(2024,3,1),'Expense Log'!$B:$B,"&lt;"&amp;DATE(2024,4,1))</f>
        <v>0</v>
      </c>
      <c r="F20" s="22">
        <f>SUMIFS('Expense Log'!$E:$E,'Expense Log'!$D:$D,"Education",'Expense Log'!$B:$B,"&gt;="&amp;DATE(2024,4,1),'Expense Log'!$B:$B,"&lt;"&amp;DATE(2024,5,1))</f>
        <v>0</v>
      </c>
      <c r="G20" s="22">
        <f>SUMIFS('Expense Log'!$E:$E,'Expense Log'!$D:$D,"Education",'Expense Log'!$B:$B,"&gt;="&amp;DATE(2024,5,1),'Expense Log'!$B:$B,"&lt;"&amp;DATE(2024,6,1))</f>
        <v>0</v>
      </c>
      <c r="H20" s="22">
        <f>SUMIFS('Expense Log'!$E:$E,'Expense Log'!$D:$D,"Education",'Expense Log'!$B:$B,"&gt;="&amp;DATE(2024,6,1),'Expense Log'!$B:$B,"&lt;"&amp;DATE(2024,7,1))</f>
        <v>0</v>
      </c>
      <c r="I20" s="22">
        <f>SUMIFS('Expense Log'!$E:$E,'Expense Log'!$D:$D,"Education",'Expense Log'!$B:$B,"&gt;="&amp;DATE(2024,7,1),'Expense Log'!$B:$B,"&lt;"&amp;DATE(2024,8,1))</f>
        <v>0</v>
      </c>
      <c r="J20" s="22">
        <f>SUMIFS('Expense Log'!$E:$E,'Expense Log'!$D:$D,"Education",'Expense Log'!$B:$B,"&gt;="&amp;DATE(2024,8,1),'Expense Log'!$B:$B,"&lt;"&amp;DATE(2024,9,1))</f>
        <v>0</v>
      </c>
      <c r="K20" s="22">
        <f>SUMIFS('Expense Log'!$E:$E,'Expense Log'!$D:$D,"Education",'Expense Log'!$B:$B,"&gt;="&amp;DATE(2024,9,1),'Expense Log'!$B:$B,"&lt;"&amp;DATE(2024,10,1))</f>
        <v>0</v>
      </c>
      <c r="L20" s="22">
        <f>SUMIFS('Expense Log'!$E:$E,'Expense Log'!$D:$D,"Education",'Expense Log'!$B:$B,"&gt;="&amp;DATE(2024,10,1),'Expense Log'!$B:$B,"&lt;"&amp;DATE(2024,11,1))</f>
        <v>0</v>
      </c>
      <c r="M20" s="22">
        <f>SUMIFS('Expense Log'!$E:$E,'Expense Log'!$D:$D,"Education",'Expense Log'!$B:$B,"&gt;="&amp;DATE(2024,11,1),'Expense Log'!$B:$B,"&lt;"&amp;DATE(2024,12,1))</f>
        <v>0</v>
      </c>
      <c r="N20" s="22">
        <f>SUMIFS('Expense Log'!$E:$E,'Expense Log'!$D:$D,"Education",'Expense Log'!$B:$B,"&gt;="&amp;DATE(2024,12,1),'Expense Log'!$B:$B,"&lt;"&amp;DATE(2025,1,1))</f>
        <v>0</v>
      </c>
      <c r="O20" s="23">
        <f t="shared" si="2"/>
        <v>499</v>
      </c>
    </row>
    <row r="21" spans="2:15" ht="20" customHeight="1" x14ac:dyDescent="0.35">
      <c r="B21" s="24" t="s">
        <v>49</v>
      </c>
      <c r="C21" s="11">
        <f>SUMIFS('Expense Log'!$E:$E,'Expense Log'!$D:$D,"Shopping",'Expense Log'!$B:$B,"&gt;="&amp;DATE(2024,1,1),'Expense Log'!$B:$B,"&lt;"&amp;DATE(2024,2,1))</f>
        <v>0</v>
      </c>
      <c r="D21" s="11">
        <f>SUMIFS('Expense Log'!$E:$E,'Expense Log'!$D:$D,"Shopping",'Expense Log'!$B:$B,"&gt;="&amp;DATE(2024,2,1),'Expense Log'!$B:$B,"&lt;"&amp;DATE(2024,3,1))</f>
        <v>1200</v>
      </c>
      <c r="E21" s="11">
        <f>SUMIFS('Expense Log'!$E:$E,'Expense Log'!$D:$D,"Shopping",'Expense Log'!$B:$B,"&gt;="&amp;DATE(2024,3,1),'Expense Log'!$B:$B,"&lt;"&amp;DATE(2024,4,1))</f>
        <v>0</v>
      </c>
      <c r="F21" s="11">
        <f>SUMIFS('Expense Log'!$E:$E,'Expense Log'!$D:$D,"Shopping",'Expense Log'!$B:$B,"&gt;="&amp;DATE(2024,4,1),'Expense Log'!$B:$B,"&lt;"&amp;DATE(2024,5,1))</f>
        <v>0</v>
      </c>
      <c r="G21" s="11">
        <f>SUMIFS('Expense Log'!$E:$E,'Expense Log'!$D:$D,"Shopping",'Expense Log'!$B:$B,"&gt;="&amp;DATE(2024,5,1),'Expense Log'!$B:$B,"&lt;"&amp;DATE(2024,6,1))</f>
        <v>0</v>
      </c>
      <c r="H21" s="11">
        <f>SUMIFS('Expense Log'!$E:$E,'Expense Log'!$D:$D,"Shopping",'Expense Log'!$B:$B,"&gt;="&amp;DATE(2024,6,1),'Expense Log'!$B:$B,"&lt;"&amp;DATE(2024,7,1))</f>
        <v>0</v>
      </c>
      <c r="I21" s="11">
        <f>SUMIFS('Expense Log'!$E:$E,'Expense Log'!$D:$D,"Shopping",'Expense Log'!$B:$B,"&gt;="&amp;DATE(2024,7,1),'Expense Log'!$B:$B,"&lt;"&amp;DATE(2024,8,1))</f>
        <v>0</v>
      </c>
      <c r="J21" s="11">
        <f>SUMIFS('Expense Log'!$E:$E,'Expense Log'!$D:$D,"Shopping",'Expense Log'!$B:$B,"&gt;="&amp;DATE(2024,8,1),'Expense Log'!$B:$B,"&lt;"&amp;DATE(2024,9,1))</f>
        <v>0</v>
      </c>
      <c r="K21" s="11">
        <f>SUMIFS('Expense Log'!$E:$E,'Expense Log'!$D:$D,"Shopping",'Expense Log'!$B:$B,"&gt;="&amp;DATE(2024,9,1),'Expense Log'!$B:$B,"&lt;"&amp;DATE(2024,10,1))</f>
        <v>0</v>
      </c>
      <c r="L21" s="11">
        <f>SUMIFS('Expense Log'!$E:$E,'Expense Log'!$D:$D,"Shopping",'Expense Log'!$B:$B,"&gt;="&amp;DATE(2024,10,1),'Expense Log'!$B:$B,"&lt;"&amp;DATE(2024,11,1))</f>
        <v>0</v>
      </c>
      <c r="M21" s="11">
        <f>SUMIFS('Expense Log'!$E:$E,'Expense Log'!$D:$D,"Shopping",'Expense Log'!$B:$B,"&gt;="&amp;DATE(2024,11,1),'Expense Log'!$B:$B,"&lt;"&amp;DATE(2024,12,1))</f>
        <v>0</v>
      </c>
      <c r="N21" s="11">
        <f>SUMIFS('Expense Log'!$E:$E,'Expense Log'!$D:$D,"Shopping",'Expense Log'!$B:$B,"&gt;="&amp;DATE(2024,12,1),'Expense Log'!$B:$B,"&lt;"&amp;DATE(2025,1,1))</f>
        <v>0</v>
      </c>
      <c r="O21" s="23">
        <f t="shared" si="2"/>
        <v>1200</v>
      </c>
    </row>
    <row r="22" spans="2:15" ht="20" customHeight="1" x14ac:dyDescent="0.35">
      <c r="B22" s="21" t="s">
        <v>50</v>
      </c>
      <c r="C22" s="22">
        <f>SUMIFS('Expense Log'!$E:$E,'Expense Log'!$D:$D,"Subscriptions",'Expense Log'!$B:$B,"&gt;="&amp;DATE(2024,1,1),'Expense Log'!$B:$B,"&lt;"&amp;DATE(2024,2,1))</f>
        <v>499</v>
      </c>
      <c r="D22" s="22">
        <f>SUMIFS('Expense Log'!$E:$E,'Expense Log'!$D:$D,"Subscriptions",'Expense Log'!$B:$B,"&gt;="&amp;DATE(2024,2,1),'Expense Log'!$B:$B,"&lt;"&amp;DATE(2024,3,1))</f>
        <v>0</v>
      </c>
      <c r="E22" s="22">
        <f>SUMIFS('Expense Log'!$E:$E,'Expense Log'!$D:$D,"Subscriptions",'Expense Log'!$B:$B,"&gt;="&amp;DATE(2024,3,1),'Expense Log'!$B:$B,"&lt;"&amp;DATE(2024,4,1))</f>
        <v>0</v>
      </c>
      <c r="F22" s="22">
        <f>SUMIFS('Expense Log'!$E:$E,'Expense Log'!$D:$D,"Subscriptions",'Expense Log'!$B:$B,"&gt;="&amp;DATE(2024,4,1),'Expense Log'!$B:$B,"&lt;"&amp;DATE(2024,5,1))</f>
        <v>0</v>
      </c>
      <c r="G22" s="22">
        <f>SUMIFS('Expense Log'!$E:$E,'Expense Log'!$D:$D,"Subscriptions",'Expense Log'!$B:$B,"&gt;="&amp;DATE(2024,5,1),'Expense Log'!$B:$B,"&lt;"&amp;DATE(2024,6,1))</f>
        <v>0</v>
      </c>
      <c r="H22" s="22">
        <f>SUMIFS('Expense Log'!$E:$E,'Expense Log'!$D:$D,"Subscriptions",'Expense Log'!$B:$B,"&gt;="&amp;DATE(2024,6,1),'Expense Log'!$B:$B,"&lt;"&amp;DATE(2024,7,1))</f>
        <v>0</v>
      </c>
      <c r="I22" s="22">
        <f>SUMIFS('Expense Log'!$E:$E,'Expense Log'!$D:$D,"Subscriptions",'Expense Log'!$B:$B,"&gt;="&amp;DATE(2024,7,1),'Expense Log'!$B:$B,"&lt;"&amp;DATE(2024,8,1))</f>
        <v>0</v>
      </c>
      <c r="J22" s="22">
        <f>SUMIFS('Expense Log'!$E:$E,'Expense Log'!$D:$D,"Subscriptions",'Expense Log'!$B:$B,"&gt;="&amp;DATE(2024,8,1),'Expense Log'!$B:$B,"&lt;"&amp;DATE(2024,9,1))</f>
        <v>0</v>
      </c>
      <c r="K22" s="22">
        <f>SUMIFS('Expense Log'!$E:$E,'Expense Log'!$D:$D,"Subscriptions",'Expense Log'!$B:$B,"&gt;="&amp;DATE(2024,9,1),'Expense Log'!$B:$B,"&lt;"&amp;DATE(2024,10,1))</f>
        <v>0</v>
      </c>
      <c r="L22" s="22">
        <f>SUMIFS('Expense Log'!$E:$E,'Expense Log'!$D:$D,"Subscriptions",'Expense Log'!$B:$B,"&gt;="&amp;DATE(2024,10,1),'Expense Log'!$B:$B,"&lt;"&amp;DATE(2024,11,1))</f>
        <v>0</v>
      </c>
      <c r="M22" s="22">
        <f>SUMIFS('Expense Log'!$E:$E,'Expense Log'!$D:$D,"Subscriptions",'Expense Log'!$B:$B,"&gt;="&amp;DATE(2024,11,1),'Expense Log'!$B:$B,"&lt;"&amp;DATE(2024,12,1))</f>
        <v>0</v>
      </c>
      <c r="N22" s="22">
        <f>SUMIFS('Expense Log'!$E:$E,'Expense Log'!$D:$D,"Subscriptions",'Expense Log'!$B:$B,"&gt;="&amp;DATE(2024,12,1),'Expense Log'!$B:$B,"&lt;"&amp;DATE(2025,1,1))</f>
        <v>0</v>
      </c>
      <c r="O22" s="23">
        <f t="shared" si="2"/>
        <v>499</v>
      </c>
    </row>
    <row r="23" spans="2:15" ht="20" customHeight="1" x14ac:dyDescent="0.35">
      <c r="B23" s="24" t="s">
        <v>51</v>
      </c>
      <c r="C23" s="11">
        <f>SUMIFS('Expense Log'!$E:$E,'Expense Log'!$D:$D,"Entertainment",'Expense Log'!$B:$B,"&gt;="&amp;DATE(2024,1,1),'Expense Log'!$B:$B,"&lt;"&amp;DATE(2024,2,1))</f>
        <v>600</v>
      </c>
      <c r="D23" s="11">
        <f>SUMIFS('Expense Log'!$E:$E,'Expense Log'!$D:$D,"Entertainment",'Expense Log'!$B:$B,"&gt;="&amp;DATE(2024,2,1),'Expense Log'!$B:$B,"&lt;"&amp;DATE(2024,3,1))</f>
        <v>0</v>
      </c>
      <c r="E23" s="11">
        <f>SUMIFS('Expense Log'!$E:$E,'Expense Log'!$D:$D,"Entertainment",'Expense Log'!$B:$B,"&gt;="&amp;DATE(2024,3,1),'Expense Log'!$B:$B,"&lt;"&amp;DATE(2024,4,1))</f>
        <v>0</v>
      </c>
      <c r="F23" s="11">
        <f>SUMIFS('Expense Log'!$E:$E,'Expense Log'!$D:$D,"Entertainment",'Expense Log'!$B:$B,"&gt;="&amp;DATE(2024,4,1),'Expense Log'!$B:$B,"&lt;"&amp;DATE(2024,5,1))</f>
        <v>0</v>
      </c>
      <c r="G23" s="11">
        <f>SUMIFS('Expense Log'!$E:$E,'Expense Log'!$D:$D,"Entertainment",'Expense Log'!$B:$B,"&gt;="&amp;DATE(2024,5,1),'Expense Log'!$B:$B,"&lt;"&amp;DATE(2024,6,1))</f>
        <v>0</v>
      </c>
      <c r="H23" s="11">
        <f>SUMIFS('Expense Log'!$E:$E,'Expense Log'!$D:$D,"Entertainment",'Expense Log'!$B:$B,"&gt;="&amp;DATE(2024,6,1),'Expense Log'!$B:$B,"&lt;"&amp;DATE(2024,7,1))</f>
        <v>0</v>
      </c>
      <c r="I23" s="11">
        <f>SUMIFS('Expense Log'!$E:$E,'Expense Log'!$D:$D,"Entertainment",'Expense Log'!$B:$B,"&gt;="&amp;DATE(2024,7,1),'Expense Log'!$B:$B,"&lt;"&amp;DATE(2024,8,1))</f>
        <v>0</v>
      </c>
      <c r="J23" s="11">
        <f>SUMIFS('Expense Log'!$E:$E,'Expense Log'!$D:$D,"Entertainment",'Expense Log'!$B:$B,"&gt;="&amp;DATE(2024,8,1),'Expense Log'!$B:$B,"&lt;"&amp;DATE(2024,9,1))</f>
        <v>0</v>
      </c>
      <c r="K23" s="11">
        <f>SUMIFS('Expense Log'!$E:$E,'Expense Log'!$D:$D,"Entertainment",'Expense Log'!$B:$B,"&gt;="&amp;DATE(2024,9,1),'Expense Log'!$B:$B,"&lt;"&amp;DATE(2024,10,1))</f>
        <v>0</v>
      </c>
      <c r="L23" s="11">
        <f>SUMIFS('Expense Log'!$E:$E,'Expense Log'!$D:$D,"Entertainment",'Expense Log'!$B:$B,"&gt;="&amp;DATE(2024,10,1),'Expense Log'!$B:$B,"&lt;"&amp;DATE(2024,11,1))</f>
        <v>0</v>
      </c>
      <c r="M23" s="11">
        <f>SUMIFS('Expense Log'!$E:$E,'Expense Log'!$D:$D,"Entertainment",'Expense Log'!$B:$B,"&gt;="&amp;DATE(2024,11,1),'Expense Log'!$B:$B,"&lt;"&amp;DATE(2024,12,1))</f>
        <v>0</v>
      </c>
      <c r="N23" s="11">
        <f>SUMIFS('Expense Log'!$E:$E,'Expense Log'!$D:$D,"Entertainment",'Expense Log'!$B:$B,"&gt;="&amp;DATE(2024,12,1),'Expense Log'!$B:$B,"&lt;"&amp;DATE(2025,1,1))</f>
        <v>0</v>
      </c>
      <c r="O23" s="23">
        <f t="shared" si="2"/>
        <v>600</v>
      </c>
    </row>
    <row r="24" spans="2:15" ht="20" customHeight="1" x14ac:dyDescent="0.35">
      <c r="B24" s="21" t="s">
        <v>52</v>
      </c>
      <c r="C24" s="22">
        <f>SUMIFS('Expense Log'!$E:$E,'Expense Log'!$D:$D,"Travel",'Expense Log'!$B:$B,"&gt;="&amp;DATE(2024,1,1),'Expense Log'!$B:$B,"&lt;"&amp;DATE(2024,2,1))</f>
        <v>0</v>
      </c>
      <c r="D24" s="22">
        <f>SUMIFS('Expense Log'!$E:$E,'Expense Log'!$D:$D,"Travel",'Expense Log'!$B:$B,"&gt;="&amp;DATE(2024,2,1),'Expense Log'!$B:$B,"&lt;"&amp;DATE(2024,3,1))</f>
        <v>0</v>
      </c>
      <c r="E24" s="22">
        <f>SUMIFS('Expense Log'!$E:$E,'Expense Log'!$D:$D,"Travel",'Expense Log'!$B:$B,"&gt;="&amp;DATE(2024,3,1),'Expense Log'!$B:$B,"&lt;"&amp;DATE(2024,4,1))</f>
        <v>0</v>
      </c>
      <c r="F24" s="22">
        <f>SUMIFS('Expense Log'!$E:$E,'Expense Log'!$D:$D,"Travel",'Expense Log'!$B:$B,"&gt;="&amp;DATE(2024,4,1),'Expense Log'!$B:$B,"&lt;"&amp;DATE(2024,5,1))</f>
        <v>0</v>
      </c>
      <c r="G24" s="22">
        <f>SUMIFS('Expense Log'!$E:$E,'Expense Log'!$D:$D,"Travel",'Expense Log'!$B:$B,"&gt;="&amp;DATE(2024,5,1),'Expense Log'!$B:$B,"&lt;"&amp;DATE(2024,6,1))</f>
        <v>0</v>
      </c>
      <c r="H24" s="22">
        <f>SUMIFS('Expense Log'!$E:$E,'Expense Log'!$D:$D,"Travel",'Expense Log'!$B:$B,"&gt;="&amp;DATE(2024,6,1),'Expense Log'!$B:$B,"&lt;"&amp;DATE(2024,7,1))</f>
        <v>0</v>
      </c>
      <c r="I24" s="22">
        <f>SUMIFS('Expense Log'!$E:$E,'Expense Log'!$D:$D,"Travel",'Expense Log'!$B:$B,"&gt;="&amp;DATE(2024,7,1),'Expense Log'!$B:$B,"&lt;"&amp;DATE(2024,8,1))</f>
        <v>0</v>
      </c>
      <c r="J24" s="22">
        <f>SUMIFS('Expense Log'!$E:$E,'Expense Log'!$D:$D,"Travel",'Expense Log'!$B:$B,"&gt;="&amp;DATE(2024,8,1),'Expense Log'!$B:$B,"&lt;"&amp;DATE(2024,9,1))</f>
        <v>0</v>
      </c>
      <c r="K24" s="22">
        <f>SUMIFS('Expense Log'!$E:$E,'Expense Log'!$D:$D,"Travel",'Expense Log'!$B:$B,"&gt;="&amp;DATE(2024,9,1),'Expense Log'!$B:$B,"&lt;"&amp;DATE(2024,10,1))</f>
        <v>0</v>
      </c>
      <c r="L24" s="22">
        <f>SUMIFS('Expense Log'!$E:$E,'Expense Log'!$D:$D,"Travel",'Expense Log'!$B:$B,"&gt;="&amp;DATE(2024,10,1),'Expense Log'!$B:$B,"&lt;"&amp;DATE(2024,11,1))</f>
        <v>0</v>
      </c>
      <c r="M24" s="22">
        <f>SUMIFS('Expense Log'!$E:$E,'Expense Log'!$D:$D,"Travel",'Expense Log'!$B:$B,"&gt;="&amp;DATE(2024,11,1),'Expense Log'!$B:$B,"&lt;"&amp;DATE(2024,12,1))</f>
        <v>0</v>
      </c>
      <c r="N24" s="22">
        <f>SUMIFS('Expense Log'!$E:$E,'Expense Log'!$D:$D,"Travel",'Expense Log'!$B:$B,"&gt;="&amp;DATE(2024,12,1),'Expense Log'!$B:$B,"&lt;"&amp;DATE(2025,1,1))</f>
        <v>0</v>
      </c>
      <c r="O24" s="23">
        <f t="shared" si="2"/>
        <v>0</v>
      </c>
    </row>
    <row r="25" spans="2:15" ht="20" customHeight="1" x14ac:dyDescent="0.35">
      <c r="B25" s="24" t="s">
        <v>53</v>
      </c>
      <c r="C25" s="11">
        <f>SUMIFS('Expense Log'!$E:$E,'Expense Log'!$D:$D,"Savings and Investments",'Expense Log'!$B:$B,"&gt;="&amp;DATE(2024,1,1),'Expense Log'!$B:$B,"&lt;"&amp;DATE(2024,2,1))</f>
        <v>5000</v>
      </c>
      <c r="D25" s="11">
        <f>SUMIFS('Expense Log'!$E:$E,'Expense Log'!$D:$D,"Savings and Investments",'Expense Log'!$B:$B,"&gt;="&amp;DATE(2024,2,1),'Expense Log'!$B:$B,"&lt;"&amp;DATE(2024,3,1))</f>
        <v>3000</v>
      </c>
      <c r="E25" s="11">
        <f>SUMIFS('Expense Log'!$E:$E,'Expense Log'!$D:$D,"Savings and Investments",'Expense Log'!$B:$B,"&gt;="&amp;DATE(2024,3,1),'Expense Log'!$B:$B,"&lt;"&amp;DATE(2024,4,1))</f>
        <v>0</v>
      </c>
      <c r="F25" s="11">
        <f>SUMIFS('Expense Log'!$E:$E,'Expense Log'!$D:$D,"Savings and Investments",'Expense Log'!$B:$B,"&gt;="&amp;DATE(2024,4,1),'Expense Log'!$B:$B,"&lt;"&amp;DATE(2024,5,1))</f>
        <v>0</v>
      </c>
      <c r="G25" s="11">
        <f>SUMIFS('Expense Log'!$E:$E,'Expense Log'!$D:$D,"Savings and Investments",'Expense Log'!$B:$B,"&gt;="&amp;DATE(2024,5,1),'Expense Log'!$B:$B,"&lt;"&amp;DATE(2024,6,1))</f>
        <v>0</v>
      </c>
      <c r="H25" s="11">
        <f>SUMIFS('Expense Log'!$E:$E,'Expense Log'!$D:$D,"Savings and Investments",'Expense Log'!$B:$B,"&gt;="&amp;DATE(2024,6,1),'Expense Log'!$B:$B,"&lt;"&amp;DATE(2024,7,1))</f>
        <v>0</v>
      </c>
      <c r="I25" s="11">
        <f>SUMIFS('Expense Log'!$E:$E,'Expense Log'!$D:$D,"Savings and Investments",'Expense Log'!$B:$B,"&gt;="&amp;DATE(2024,7,1),'Expense Log'!$B:$B,"&lt;"&amp;DATE(2024,8,1))</f>
        <v>0</v>
      </c>
      <c r="J25" s="11">
        <f>SUMIFS('Expense Log'!$E:$E,'Expense Log'!$D:$D,"Savings and Investments",'Expense Log'!$B:$B,"&gt;="&amp;DATE(2024,8,1),'Expense Log'!$B:$B,"&lt;"&amp;DATE(2024,9,1))</f>
        <v>0</v>
      </c>
      <c r="K25" s="11">
        <f>SUMIFS('Expense Log'!$E:$E,'Expense Log'!$D:$D,"Savings and Investments",'Expense Log'!$B:$B,"&gt;="&amp;DATE(2024,9,1),'Expense Log'!$B:$B,"&lt;"&amp;DATE(2024,10,1))</f>
        <v>0</v>
      </c>
      <c r="L25" s="11">
        <f>SUMIFS('Expense Log'!$E:$E,'Expense Log'!$D:$D,"Savings and Investments",'Expense Log'!$B:$B,"&gt;="&amp;DATE(2024,10,1),'Expense Log'!$B:$B,"&lt;"&amp;DATE(2024,11,1))</f>
        <v>0</v>
      </c>
      <c r="M25" s="11">
        <f>SUMIFS('Expense Log'!$E:$E,'Expense Log'!$D:$D,"Savings and Investments",'Expense Log'!$B:$B,"&gt;="&amp;DATE(2024,11,1),'Expense Log'!$B:$B,"&lt;"&amp;DATE(2024,12,1))</f>
        <v>0</v>
      </c>
      <c r="N25" s="11">
        <f>SUMIFS('Expense Log'!$E:$E,'Expense Log'!$D:$D,"Savings and Investments",'Expense Log'!$B:$B,"&gt;="&amp;DATE(2024,12,1),'Expense Log'!$B:$B,"&lt;"&amp;DATE(2025,1,1))</f>
        <v>0</v>
      </c>
      <c r="O25" s="23">
        <f t="shared" si="2"/>
        <v>8000</v>
      </c>
    </row>
    <row r="26" spans="2:15" ht="20" customHeight="1" x14ac:dyDescent="0.35">
      <c r="B26" s="21" t="s">
        <v>54</v>
      </c>
      <c r="C26" s="22">
        <f>SUMIFS('Expense Log'!$E:$E,'Expense Log'!$D:$D,"Miscellaneous",'Expense Log'!$B:$B,"&gt;="&amp;DATE(2024,1,1),'Expense Log'!$B:$B,"&lt;"&amp;DATE(2024,2,1))</f>
        <v>0</v>
      </c>
      <c r="D26" s="22">
        <f>SUMIFS('Expense Log'!$E:$E,'Expense Log'!$D:$D,"Miscellaneous",'Expense Log'!$B:$B,"&gt;="&amp;DATE(2024,2,1),'Expense Log'!$B:$B,"&lt;"&amp;DATE(2024,3,1))</f>
        <v>0</v>
      </c>
      <c r="E26" s="22">
        <f>SUMIFS('Expense Log'!$E:$E,'Expense Log'!$D:$D,"Miscellaneous",'Expense Log'!$B:$B,"&gt;="&amp;DATE(2024,3,1),'Expense Log'!$B:$B,"&lt;"&amp;DATE(2024,4,1))</f>
        <v>0</v>
      </c>
      <c r="F26" s="22">
        <f>SUMIFS('Expense Log'!$E:$E,'Expense Log'!$D:$D,"Miscellaneous",'Expense Log'!$B:$B,"&gt;="&amp;DATE(2024,4,1),'Expense Log'!$B:$B,"&lt;"&amp;DATE(2024,5,1))</f>
        <v>0</v>
      </c>
      <c r="G26" s="22">
        <f>SUMIFS('Expense Log'!$E:$E,'Expense Log'!$D:$D,"Miscellaneous",'Expense Log'!$B:$B,"&gt;="&amp;DATE(2024,5,1),'Expense Log'!$B:$B,"&lt;"&amp;DATE(2024,6,1))</f>
        <v>0</v>
      </c>
      <c r="H26" s="22">
        <f>SUMIFS('Expense Log'!$E:$E,'Expense Log'!$D:$D,"Miscellaneous",'Expense Log'!$B:$B,"&gt;="&amp;DATE(2024,6,1),'Expense Log'!$B:$B,"&lt;"&amp;DATE(2024,7,1))</f>
        <v>0</v>
      </c>
      <c r="I26" s="22">
        <f>SUMIFS('Expense Log'!$E:$E,'Expense Log'!$D:$D,"Miscellaneous",'Expense Log'!$B:$B,"&gt;="&amp;DATE(2024,7,1),'Expense Log'!$B:$B,"&lt;"&amp;DATE(2024,8,1))</f>
        <v>0</v>
      </c>
      <c r="J26" s="22">
        <f>SUMIFS('Expense Log'!$E:$E,'Expense Log'!$D:$D,"Miscellaneous",'Expense Log'!$B:$B,"&gt;="&amp;DATE(2024,8,1),'Expense Log'!$B:$B,"&lt;"&amp;DATE(2024,9,1))</f>
        <v>0</v>
      </c>
      <c r="K26" s="22">
        <f>SUMIFS('Expense Log'!$E:$E,'Expense Log'!$D:$D,"Miscellaneous",'Expense Log'!$B:$B,"&gt;="&amp;DATE(2024,9,1),'Expense Log'!$B:$B,"&lt;"&amp;DATE(2024,10,1))</f>
        <v>0</v>
      </c>
      <c r="L26" s="22">
        <f>SUMIFS('Expense Log'!$E:$E,'Expense Log'!$D:$D,"Miscellaneous",'Expense Log'!$B:$B,"&gt;="&amp;DATE(2024,10,1),'Expense Log'!$B:$B,"&lt;"&amp;DATE(2024,11,1))</f>
        <v>0</v>
      </c>
      <c r="M26" s="22">
        <f>SUMIFS('Expense Log'!$E:$E,'Expense Log'!$D:$D,"Miscellaneous",'Expense Log'!$B:$B,"&gt;="&amp;DATE(2024,11,1),'Expense Log'!$B:$B,"&lt;"&amp;DATE(2024,12,1))</f>
        <v>0</v>
      </c>
      <c r="N26" s="22">
        <f>SUMIFS('Expense Log'!$E:$E,'Expense Log'!$D:$D,"Miscellaneous",'Expense Log'!$B:$B,"&gt;="&amp;DATE(2024,12,1),'Expense Log'!$B:$B,"&lt;"&amp;DATE(2025,1,1))</f>
        <v>0</v>
      </c>
      <c r="O26" s="23">
        <f t="shared" si="2"/>
        <v>0</v>
      </c>
    </row>
    <row r="27" spans="2:15" ht="24" customHeight="1" x14ac:dyDescent="0.35">
      <c r="B27" s="25" t="s">
        <v>114</v>
      </c>
      <c r="C27" s="26">
        <f t="shared" ref="C27:O27" si="3">SUM(C16:C26)</f>
        <v>30548</v>
      </c>
      <c r="D27" s="26">
        <f t="shared" si="3"/>
        <v>25000</v>
      </c>
      <c r="E27" s="26">
        <f t="shared" si="3"/>
        <v>18000</v>
      </c>
      <c r="F27" s="26">
        <f t="shared" si="3"/>
        <v>0</v>
      </c>
      <c r="G27" s="26">
        <f t="shared" si="3"/>
        <v>0</v>
      </c>
      <c r="H27" s="26">
        <f t="shared" si="3"/>
        <v>0</v>
      </c>
      <c r="I27" s="26">
        <f t="shared" si="3"/>
        <v>0</v>
      </c>
      <c r="J27" s="26">
        <f t="shared" si="3"/>
        <v>0</v>
      </c>
      <c r="K27" s="26">
        <f t="shared" si="3"/>
        <v>0</v>
      </c>
      <c r="L27" s="26">
        <f t="shared" si="3"/>
        <v>0</v>
      </c>
      <c r="M27" s="26">
        <f t="shared" si="3"/>
        <v>0</v>
      </c>
      <c r="N27" s="26">
        <f t="shared" si="3"/>
        <v>0</v>
      </c>
      <c r="O27" s="26">
        <f t="shared" si="3"/>
        <v>73548</v>
      </c>
    </row>
    <row r="28" spans="2:15" ht="10" customHeight="1" x14ac:dyDescent="0.35"/>
    <row r="29" spans="2:15" ht="24" customHeight="1" x14ac:dyDescent="0.35">
      <c r="B29" s="12" t="s">
        <v>115</v>
      </c>
      <c r="C29" s="27">
        <f t="shared" ref="C29:O29" si="4">C12-C27</f>
        <v>58372</v>
      </c>
      <c r="D29" s="27">
        <f t="shared" si="4"/>
        <v>68000</v>
      </c>
      <c r="E29" s="27">
        <f t="shared" si="4"/>
        <v>82000</v>
      </c>
      <c r="F29" s="27">
        <f t="shared" si="4"/>
        <v>0</v>
      </c>
      <c r="G29" s="27">
        <f t="shared" si="4"/>
        <v>0</v>
      </c>
      <c r="H29" s="27">
        <f t="shared" si="4"/>
        <v>0</v>
      </c>
      <c r="I29" s="27">
        <f t="shared" si="4"/>
        <v>0</v>
      </c>
      <c r="J29" s="27">
        <f t="shared" si="4"/>
        <v>0</v>
      </c>
      <c r="K29" s="27">
        <f t="shared" si="4"/>
        <v>0</v>
      </c>
      <c r="L29" s="27">
        <f t="shared" si="4"/>
        <v>0</v>
      </c>
      <c r="M29" s="27">
        <f t="shared" si="4"/>
        <v>0</v>
      </c>
      <c r="N29" s="27">
        <f t="shared" si="4"/>
        <v>0</v>
      </c>
      <c r="O29" s="27">
        <f t="shared" si="4"/>
        <v>208372</v>
      </c>
    </row>
    <row r="30" spans="2:15" ht="22" customHeight="1" x14ac:dyDescent="0.35">
      <c r="B30" s="12" t="s">
        <v>116</v>
      </c>
      <c r="C30" s="28">
        <f t="shared" ref="C30:O30" si="5">IF(C12=0,0,C29/C12)</f>
        <v>0.65645524066576699</v>
      </c>
      <c r="D30" s="28">
        <f t="shared" si="5"/>
        <v>0.73118279569892475</v>
      </c>
      <c r="E30" s="28">
        <f t="shared" si="5"/>
        <v>0.82</v>
      </c>
      <c r="F30" s="28">
        <f t="shared" si="5"/>
        <v>0</v>
      </c>
      <c r="G30" s="28">
        <f t="shared" si="5"/>
        <v>0</v>
      </c>
      <c r="H30" s="28">
        <f t="shared" si="5"/>
        <v>0</v>
      </c>
      <c r="I30" s="28">
        <f t="shared" si="5"/>
        <v>0</v>
      </c>
      <c r="J30" s="28">
        <f t="shared" si="5"/>
        <v>0</v>
      </c>
      <c r="K30" s="28">
        <f t="shared" si="5"/>
        <v>0</v>
      </c>
      <c r="L30" s="28">
        <f t="shared" si="5"/>
        <v>0</v>
      </c>
      <c r="M30" s="28">
        <f t="shared" si="5"/>
        <v>0</v>
      </c>
      <c r="N30" s="28">
        <f t="shared" si="5"/>
        <v>0</v>
      </c>
      <c r="O30" s="28">
        <f t="shared" si="5"/>
        <v>0.73911748013620882</v>
      </c>
    </row>
  </sheetData>
  <mergeCells count="4">
    <mergeCell ref="B1:O1"/>
    <mergeCell ref="B14:O14"/>
    <mergeCell ref="B2:O2"/>
    <mergeCell ref="B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0006"/>
  </sheetPr>
  <dimension ref="B1:G219"/>
  <sheetViews>
    <sheetView showGridLines="0" workbookViewId="0">
      <pane xSplit="1" ySplit="4" topLeftCell="B15" activePane="bottomRight" state="frozen"/>
      <selection pane="topRight"/>
      <selection pane="bottomLeft"/>
      <selection pane="bottomRight" activeCell="A20" sqref="A20:XFD20"/>
    </sheetView>
  </sheetViews>
  <sheetFormatPr defaultRowHeight="14.5" x14ac:dyDescent="0.35"/>
  <cols>
    <col min="1" max="1" width="2" customWidth="1"/>
    <col min="2" max="2" width="13" customWidth="1"/>
    <col min="3" max="3" width="32" customWidth="1"/>
    <col min="4" max="4" width="24" customWidth="1"/>
    <col min="5" max="5" width="16" customWidth="1"/>
    <col min="6" max="6" width="18" customWidth="1"/>
    <col min="7" max="7" width="28" customWidth="1"/>
    <col min="8" max="8" width="2" customWidth="1"/>
  </cols>
  <sheetData>
    <row r="1" spans="2:7" ht="36" customHeight="1" x14ac:dyDescent="0.35">
      <c r="B1" s="73" t="s">
        <v>117</v>
      </c>
      <c r="C1" s="54"/>
      <c r="D1" s="54"/>
      <c r="E1" s="54"/>
      <c r="F1" s="54"/>
      <c r="G1" s="54"/>
    </row>
    <row r="2" spans="2:7" ht="30" customHeight="1" x14ac:dyDescent="0.35">
      <c r="B2" s="72" t="s">
        <v>118</v>
      </c>
      <c r="C2" s="54"/>
      <c r="D2" s="54"/>
      <c r="E2" s="71">
        <f>SUM(E5:E9999)</f>
        <v>73548</v>
      </c>
      <c r="F2" s="54"/>
      <c r="G2" s="54"/>
    </row>
    <row r="3" spans="2:7" ht="18" customHeight="1" x14ac:dyDescent="0.35">
      <c r="B3" s="70" t="s">
        <v>119</v>
      </c>
      <c r="C3" s="54"/>
      <c r="D3" s="54"/>
      <c r="E3" s="54"/>
      <c r="F3" s="54"/>
      <c r="G3" s="54"/>
    </row>
    <row r="4" spans="2:7" ht="22" customHeight="1" x14ac:dyDescent="0.35">
      <c r="B4" s="20" t="s">
        <v>120</v>
      </c>
      <c r="C4" s="20" t="s">
        <v>121</v>
      </c>
      <c r="D4" s="20" t="s">
        <v>113</v>
      </c>
      <c r="E4" s="20" t="s">
        <v>122</v>
      </c>
      <c r="F4" s="20" t="s">
        <v>123</v>
      </c>
      <c r="G4" s="20" t="s">
        <v>124</v>
      </c>
    </row>
    <row r="5" spans="2:7" ht="20" customHeight="1" x14ac:dyDescent="0.35">
      <c r="B5" s="29">
        <v>45292</v>
      </c>
      <c r="C5" s="7" t="s">
        <v>125</v>
      </c>
      <c r="D5" s="7" t="s">
        <v>43</v>
      </c>
      <c r="E5" s="8">
        <v>18000</v>
      </c>
      <c r="F5" s="30" t="s">
        <v>126</v>
      </c>
      <c r="G5" s="7" t="s">
        <v>82</v>
      </c>
    </row>
    <row r="6" spans="2:7" ht="20" customHeight="1" x14ac:dyDescent="0.35">
      <c r="B6" s="31">
        <v>45294</v>
      </c>
      <c r="C6" s="10" t="s">
        <v>127</v>
      </c>
      <c r="D6" s="10" t="s">
        <v>45</v>
      </c>
      <c r="E6" s="11">
        <v>450</v>
      </c>
      <c r="F6" s="32" t="s">
        <v>128</v>
      </c>
      <c r="G6" s="10"/>
    </row>
    <row r="7" spans="2:7" ht="20" customHeight="1" x14ac:dyDescent="0.35">
      <c r="B7" s="29">
        <v>45296</v>
      </c>
      <c r="C7" s="7" t="s">
        <v>129</v>
      </c>
      <c r="D7" s="7" t="s">
        <v>46</v>
      </c>
      <c r="E7" s="8">
        <v>500</v>
      </c>
      <c r="F7" s="30" t="s">
        <v>128</v>
      </c>
      <c r="G7" s="7" t="s">
        <v>130</v>
      </c>
    </row>
    <row r="8" spans="2:7" ht="20" customHeight="1" x14ac:dyDescent="0.35">
      <c r="B8" s="31">
        <v>45297</v>
      </c>
      <c r="C8" s="10" t="s">
        <v>131</v>
      </c>
      <c r="D8" s="10" t="s">
        <v>45</v>
      </c>
      <c r="E8" s="11">
        <v>3200</v>
      </c>
      <c r="F8" s="32" t="s">
        <v>132</v>
      </c>
      <c r="G8" s="10"/>
    </row>
    <row r="9" spans="2:7" ht="20" customHeight="1" x14ac:dyDescent="0.35">
      <c r="B9" s="29">
        <v>45298</v>
      </c>
      <c r="C9" s="7" t="s">
        <v>133</v>
      </c>
      <c r="D9" s="7" t="s">
        <v>50</v>
      </c>
      <c r="E9" s="8">
        <v>499</v>
      </c>
      <c r="F9" s="30" t="s">
        <v>134</v>
      </c>
      <c r="G9" s="7"/>
    </row>
    <row r="10" spans="2:7" ht="20" customHeight="1" x14ac:dyDescent="0.35">
      <c r="B10" s="31">
        <v>45301</v>
      </c>
      <c r="C10" s="10" t="s">
        <v>135</v>
      </c>
      <c r="D10" s="10" t="s">
        <v>46</v>
      </c>
      <c r="E10" s="11">
        <v>1100</v>
      </c>
      <c r="F10" s="32" t="s">
        <v>136</v>
      </c>
      <c r="G10" s="10"/>
    </row>
    <row r="11" spans="2:7" ht="20" customHeight="1" x14ac:dyDescent="0.35">
      <c r="B11" s="29">
        <v>45303</v>
      </c>
      <c r="C11" s="7" t="s">
        <v>137</v>
      </c>
      <c r="D11" s="7" t="s">
        <v>47</v>
      </c>
      <c r="E11" s="8">
        <v>700</v>
      </c>
      <c r="F11" s="30" t="s">
        <v>138</v>
      </c>
      <c r="G11" s="7"/>
    </row>
    <row r="12" spans="2:7" ht="20" customHeight="1" x14ac:dyDescent="0.35">
      <c r="B12" s="31">
        <v>45306</v>
      </c>
      <c r="C12" s="10" t="s">
        <v>139</v>
      </c>
      <c r="D12" s="10" t="s">
        <v>48</v>
      </c>
      <c r="E12" s="11">
        <v>499</v>
      </c>
      <c r="F12" s="32" t="s">
        <v>132</v>
      </c>
      <c r="G12" s="10"/>
    </row>
    <row r="13" spans="2:7" ht="20" customHeight="1" x14ac:dyDescent="0.35">
      <c r="B13" s="29">
        <v>45309</v>
      </c>
      <c r="C13" s="7" t="s">
        <v>140</v>
      </c>
      <c r="D13" s="7" t="s">
        <v>53</v>
      </c>
      <c r="E13" s="8">
        <v>5000</v>
      </c>
      <c r="F13" s="30" t="s">
        <v>134</v>
      </c>
      <c r="G13" s="7" t="s">
        <v>141</v>
      </c>
    </row>
    <row r="14" spans="2:7" ht="20" customHeight="1" x14ac:dyDescent="0.35">
      <c r="B14" s="31">
        <v>45311</v>
      </c>
      <c r="C14" s="10" t="s">
        <v>142</v>
      </c>
      <c r="D14" s="10" t="s">
        <v>51</v>
      </c>
      <c r="E14" s="11">
        <v>600</v>
      </c>
      <c r="F14" s="32" t="s">
        <v>128</v>
      </c>
      <c r="G14" s="10"/>
    </row>
    <row r="15" spans="2:7" ht="20" customHeight="1" x14ac:dyDescent="0.35">
      <c r="B15" s="29">
        <v>45323</v>
      </c>
      <c r="C15" s="7" t="s">
        <v>125</v>
      </c>
      <c r="D15" s="7" t="s">
        <v>43</v>
      </c>
      <c r="E15" s="8">
        <v>18000</v>
      </c>
      <c r="F15" s="30" t="s">
        <v>126</v>
      </c>
      <c r="G15" s="7" t="s">
        <v>83</v>
      </c>
    </row>
    <row r="16" spans="2:7" ht="20" customHeight="1" x14ac:dyDescent="0.35">
      <c r="B16" s="31">
        <v>45326</v>
      </c>
      <c r="C16" s="10" t="s">
        <v>143</v>
      </c>
      <c r="D16" s="10" t="s">
        <v>45</v>
      </c>
      <c r="E16" s="11">
        <v>2800</v>
      </c>
      <c r="F16" s="32" t="s">
        <v>136</v>
      </c>
      <c r="G16" s="10"/>
    </row>
    <row r="17" spans="2:7" ht="20" customHeight="1" x14ac:dyDescent="0.35">
      <c r="B17" s="29">
        <v>45330</v>
      </c>
      <c r="C17" s="7" t="s">
        <v>144</v>
      </c>
      <c r="D17" s="7" t="s">
        <v>53</v>
      </c>
      <c r="E17" s="8">
        <v>3000</v>
      </c>
      <c r="F17" s="30" t="s">
        <v>134</v>
      </c>
      <c r="G17" s="7"/>
    </row>
    <row r="18" spans="2:7" ht="20" customHeight="1" x14ac:dyDescent="0.35">
      <c r="B18" s="31">
        <v>45337</v>
      </c>
      <c r="C18" s="10" t="s">
        <v>145</v>
      </c>
      <c r="D18" s="10" t="s">
        <v>49</v>
      </c>
      <c r="E18" s="11">
        <v>1200</v>
      </c>
      <c r="F18" s="32" t="s">
        <v>132</v>
      </c>
      <c r="G18" s="10"/>
    </row>
    <row r="19" spans="2:7" ht="20" customHeight="1" x14ac:dyDescent="0.35">
      <c r="B19" s="29">
        <v>45352</v>
      </c>
      <c r="C19" s="7" t="s">
        <v>125</v>
      </c>
      <c r="D19" s="7" t="s">
        <v>43</v>
      </c>
      <c r="E19" s="8">
        <v>18000</v>
      </c>
      <c r="F19" s="30" t="s">
        <v>126</v>
      </c>
      <c r="G19" s="7" t="s">
        <v>84</v>
      </c>
    </row>
    <row r="20" spans="2:7" ht="20" customHeight="1" x14ac:dyDescent="0.35">
      <c r="B20" s="29"/>
      <c r="C20" s="7"/>
      <c r="D20" s="7"/>
      <c r="E20" s="8"/>
      <c r="F20" s="30"/>
      <c r="G20" s="34"/>
    </row>
    <row r="21" spans="2:7" ht="20" customHeight="1" x14ac:dyDescent="0.35">
      <c r="B21" s="36"/>
      <c r="C21" s="37"/>
      <c r="D21" s="37"/>
      <c r="E21" s="38"/>
      <c r="F21" s="37"/>
      <c r="G21" s="37"/>
    </row>
    <row r="22" spans="2:7" ht="20" customHeight="1" x14ac:dyDescent="0.35">
      <c r="B22" s="33"/>
      <c r="C22" s="34"/>
      <c r="D22" s="34"/>
      <c r="E22" s="35"/>
      <c r="F22" s="34"/>
      <c r="G22" s="34"/>
    </row>
    <row r="23" spans="2:7" ht="20" customHeight="1" x14ac:dyDescent="0.35">
      <c r="B23" s="36"/>
      <c r="C23" s="37"/>
      <c r="D23" s="37"/>
      <c r="E23" s="38"/>
      <c r="F23" s="37"/>
      <c r="G23" s="37"/>
    </row>
    <row r="24" spans="2:7" ht="20" customHeight="1" x14ac:dyDescent="0.35">
      <c r="B24" s="33"/>
      <c r="C24" s="34"/>
      <c r="D24" s="34"/>
      <c r="E24" s="35"/>
      <c r="F24" s="34"/>
      <c r="G24" s="34"/>
    </row>
    <row r="25" spans="2:7" ht="20" customHeight="1" x14ac:dyDescent="0.35">
      <c r="B25" s="36"/>
      <c r="C25" s="37"/>
      <c r="D25" s="37"/>
      <c r="E25" s="38"/>
      <c r="F25" s="37"/>
      <c r="G25" s="37"/>
    </row>
    <row r="26" spans="2:7" ht="20" customHeight="1" x14ac:dyDescent="0.35">
      <c r="B26" s="33"/>
      <c r="C26" s="34"/>
      <c r="D26" s="34"/>
      <c r="E26" s="35"/>
      <c r="F26" s="34"/>
      <c r="G26" s="34"/>
    </row>
    <row r="27" spans="2:7" ht="20" customHeight="1" x14ac:dyDescent="0.35">
      <c r="B27" s="36"/>
      <c r="C27" s="37"/>
      <c r="D27" s="37"/>
      <c r="E27" s="38"/>
      <c r="F27" s="37"/>
      <c r="G27" s="37"/>
    </row>
    <row r="28" spans="2:7" ht="20" customHeight="1" x14ac:dyDescent="0.35">
      <c r="B28" s="33"/>
      <c r="C28" s="34"/>
      <c r="D28" s="34"/>
      <c r="E28" s="35"/>
      <c r="F28" s="34"/>
      <c r="G28" s="34"/>
    </row>
    <row r="29" spans="2:7" ht="20" customHeight="1" x14ac:dyDescent="0.35">
      <c r="B29" s="36"/>
      <c r="C29" s="37"/>
      <c r="D29" s="37"/>
      <c r="E29" s="38"/>
      <c r="F29" s="37"/>
      <c r="G29" s="37"/>
    </row>
    <row r="30" spans="2:7" ht="20" customHeight="1" x14ac:dyDescent="0.35">
      <c r="B30" s="33"/>
      <c r="C30" s="34"/>
      <c r="D30" s="34"/>
      <c r="E30" s="35"/>
      <c r="F30" s="34"/>
      <c r="G30" s="34"/>
    </row>
    <row r="31" spans="2:7" ht="20" customHeight="1" x14ac:dyDescent="0.35">
      <c r="B31" s="36"/>
      <c r="C31" s="37"/>
      <c r="D31" s="37"/>
      <c r="E31" s="38"/>
      <c r="F31" s="37"/>
      <c r="G31" s="37"/>
    </row>
    <row r="32" spans="2:7" ht="20" customHeight="1" x14ac:dyDescent="0.35">
      <c r="B32" s="33"/>
      <c r="C32" s="34"/>
      <c r="D32" s="34"/>
      <c r="E32" s="35"/>
      <c r="F32" s="34"/>
      <c r="G32" s="34"/>
    </row>
    <row r="33" spans="2:7" ht="20" customHeight="1" x14ac:dyDescent="0.35">
      <c r="B33" s="36"/>
      <c r="C33" s="37"/>
      <c r="D33" s="37"/>
      <c r="E33" s="38"/>
      <c r="F33" s="37"/>
      <c r="G33" s="37"/>
    </row>
    <row r="34" spans="2:7" ht="20" customHeight="1" x14ac:dyDescent="0.35">
      <c r="B34" s="33"/>
      <c r="C34" s="34"/>
      <c r="D34" s="34"/>
      <c r="E34" s="35"/>
      <c r="F34" s="34"/>
      <c r="G34" s="34"/>
    </row>
    <row r="35" spans="2:7" ht="20" customHeight="1" x14ac:dyDescent="0.35">
      <c r="B35" s="36"/>
      <c r="C35" s="37"/>
      <c r="D35" s="37"/>
      <c r="E35" s="38"/>
      <c r="F35" s="37"/>
      <c r="G35" s="37"/>
    </row>
    <row r="36" spans="2:7" ht="20" customHeight="1" x14ac:dyDescent="0.35">
      <c r="B36" s="33"/>
      <c r="C36" s="34"/>
      <c r="D36" s="34"/>
      <c r="E36" s="35"/>
      <c r="F36" s="34"/>
      <c r="G36" s="34"/>
    </row>
    <row r="37" spans="2:7" ht="20" customHeight="1" x14ac:dyDescent="0.35">
      <c r="B37" s="36"/>
      <c r="C37" s="37"/>
      <c r="D37" s="37"/>
      <c r="E37" s="38"/>
      <c r="F37" s="37"/>
      <c r="G37" s="37"/>
    </row>
    <row r="38" spans="2:7" ht="20" customHeight="1" x14ac:dyDescent="0.35">
      <c r="B38" s="33"/>
      <c r="C38" s="34"/>
      <c r="D38" s="34"/>
      <c r="E38" s="35"/>
      <c r="F38" s="34"/>
      <c r="G38" s="34"/>
    </row>
    <row r="39" spans="2:7" ht="20" customHeight="1" x14ac:dyDescent="0.35">
      <c r="B39" s="36"/>
      <c r="C39" s="37"/>
      <c r="D39" s="37"/>
      <c r="E39" s="38"/>
      <c r="F39" s="37"/>
      <c r="G39" s="37"/>
    </row>
    <row r="40" spans="2:7" ht="20" customHeight="1" x14ac:dyDescent="0.35">
      <c r="B40" s="33"/>
      <c r="C40" s="34"/>
      <c r="D40" s="34"/>
      <c r="E40" s="35"/>
      <c r="F40" s="34"/>
      <c r="G40" s="34"/>
    </row>
    <row r="41" spans="2:7" ht="20" customHeight="1" x14ac:dyDescent="0.35">
      <c r="B41" s="36"/>
      <c r="C41" s="37"/>
      <c r="D41" s="37"/>
      <c r="E41" s="38"/>
      <c r="F41" s="37"/>
      <c r="G41" s="37"/>
    </row>
    <row r="42" spans="2:7" ht="20" customHeight="1" x14ac:dyDescent="0.35">
      <c r="B42" s="33"/>
      <c r="C42" s="34"/>
      <c r="D42" s="34"/>
      <c r="E42" s="35"/>
      <c r="F42" s="34"/>
      <c r="G42" s="34"/>
    </row>
    <row r="43" spans="2:7" ht="20" customHeight="1" x14ac:dyDescent="0.35">
      <c r="B43" s="36"/>
      <c r="C43" s="37"/>
      <c r="D43" s="37"/>
      <c r="E43" s="38"/>
      <c r="F43" s="37"/>
      <c r="G43" s="37"/>
    </row>
    <row r="44" spans="2:7" ht="20" customHeight="1" x14ac:dyDescent="0.35">
      <c r="B44" s="33"/>
      <c r="C44" s="34"/>
      <c r="D44" s="34"/>
      <c r="E44" s="35"/>
      <c r="F44" s="34"/>
      <c r="G44" s="34"/>
    </row>
    <row r="45" spans="2:7" ht="20" customHeight="1" x14ac:dyDescent="0.35">
      <c r="B45" s="36"/>
      <c r="C45" s="37"/>
      <c r="D45" s="37"/>
      <c r="E45" s="38"/>
      <c r="F45" s="37"/>
      <c r="G45" s="37"/>
    </row>
    <row r="46" spans="2:7" ht="20" customHeight="1" x14ac:dyDescent="0.35">
      <c r="B46" s="33"/>
      <c r="C46" s="34"/>
      <c r="D46" s="34"/>
      <c r="E46" s="35"/>
      <c r="F46" s="34"/>
      <c r="G46" s="34"/>
    </row>
    <row r="47" spans="2:7" ht="20" customHeight="1" x14ac:dyDescent="0.35">
      <c r="B47" s="36"/>
      <c r="C47" s="37"/>
      <c r="D47" s="37"/>
      <c r="E47" s="38"/>
      <c r="F47" s="37"/>
      <c r="G47" s="37"/>
    </row>
    <row r="48" spans="2:7" ht="20" customHeight="1" x14ac:dyDescent="0.35">
      <c r="B48" s="33"/>
      <c r="C48" s="34"/>
      <c r="D48" s="34"/>
      <c r="E48" s="35"/>
      <c r="F48" s="34"/>
      <c r="G48" s="34"/>
    </row>
    <row r="49" spans="2:7" ht="20" customHeight="1" x14ac:dyDescent="0.35">
      <c r="B49" s="36"/>
      <c r="C49" s="37"/>
      <c r="D49" s="37"/>
      <c r="E49" s="38"/>
      <c r="F49" s="37"/>
      <c r="G49" s="37"/>
    </row>
    <row r="50" spans="2:7" ht="20" customHeight="1" x14ac:dyDescent="0.35">
      <c r="B50" s="33"/>
      <c r="C50" s="34"/>
      <c r="D50" s="34"/>
      <c r="E50" s="35"/>
      <c r="F50" s="34"/>
      <c r="G50" s="34"/>
    </row>
    <row r="51" spans="2:7" ht="20" customHeight="1" x14ac:dyDescent="0.35">
      <c r="B51" s="36"/>
      <c r="C51" s="37"/>
      <c r="D51" s="37"/>
      <c r="E51" s="38"/>
      <c r="F51" s="37"/>
      <c r="G51" s="37"/>
    </row>
    <row r="52" spans="2:7" ht="20" customHeight="1" x14ac:dyDescent="0.35">
      <c r="B52" s="33"/>
      <c r="C52" s="34"/>
      <c r="D52" s="34"/>
      <c r="E52" s="35"/>
      <c r="F52" s="34"/>
      <c r="G52" s="34"/>
    </row>
    <row r="53" spans="2:7" ht="20" customHeight="1" x14ac:dyDescent="0.35">
      <c r="B53" s="36"/>
      <c r="C53" s="37"/>
      <c r="D53" s="37"/>
      <c r="E53" s="38"/>
      <c r="F53" s="37"/>
      <c r="G53" s="37"/>
    </row>
    <row r="54" spans="2:7" ht="20" customHeight="1" x14ac:dyDescent="0.35">
      <c r="B54" s="33"/>
      <c r="C54" s="34"/>
      <c r="D54" s="34"/>
      <c r="E54" s="35"/>
      <c r="F54" s="34"/>
      <c r="G54" s="34"/>
    </row>
    <row r="55" spans="2:7" ht="20" customHeight="1" x14ac:dyDescent="0.35">
      <c r="B55" s="36"/>
      <c r="C55" s="37"/>
      <c r="D55" s="37"/>
      <c r="E55" s="38"/>
      <c r="F55" s="37"/>
      <c r="G55" s="37"/>
    </row>
    <row r="56" spans="2:7" ht="20" customHeight="1" x14ac:dyDescent="0.35">
      <c r="B56" s="33"/>
      <c r="C56" s="34"/>
      <c r="D56" s="34"/>
      <c r="E56" s="35"/>
      <c r="F56" s="34"/>
      <c r="G56" s="34"/>
    </row>
    <row r="57" spans="2:7" ht="20" customHeight="1" x14ac:dyDescent="0.35">
      <c r="B57" s="36"/>
      <c r="C57" s="37"/>
      <c r="D57" s="37"/>
      <c r="E57" s="38"/>
      <c r="F57" s="37"/>
      <c r="G57" s="37"/>
    </row>
    <row r="58" spans="2:7" ht="20" customHeight="1" x14ac:dyDescent="0.35">
      <c r="B58" s="33"/>
      <c r="C58" s="34"/>
      <c r="D58" s="34"/>
      <c r="E58" s="35"/>
      <c r="F58" s="34"/>
      <c r="G58" s="34"/>
    </row>
    <row r="59" spans="2:7" ht="20" customHeight="1" x14ac:dyDescent="0.35">
      <c r="B59" s="36"/>
      <c r="C59" s="37"/>
      <c r="D59" s="37"/>
      <c r="E59" s="38"/>
      <c r="F59" s="37"/>
      <c r="G59" s="37"/>
    </row>
    <row r="60" spans="2:7" ht="20" customHeight="1" x14ac:dyDescent="0.35">
      <c r="B60" s="33"/>
      <c r="C60" s="34"/>
      <c r="D60" s="34"/>
      <c r="E60" s="35"/>
      <c r="F60" s="34"/>
      <c r="G60" s="34"/>
    </row>
    <row r="61" spans="2:7" ht="20" customHeight="1" x14ac:dyDescent="0.35">
      <c r="B61" s="36"/>
      <c r="C61" s="37"/>
      <c r="D61" s="37"/>
      <c r="E61" s="38"/>
      <c r="F61" s="37"/>
      <c r="G61" s="37"/>
    </row>
    <row r="62" spans="2:7" ht="20" customHeight="1" x14ac:dyDescent="0.35">
      <c r="B62" s="33"/>
      <c r="C62" s="34"/>
      <c r="D62" s="34"/>
      <c r="E62" s="35"/>
      <c r="F62" s="34"/>
      <c r="G62" s="34"/>
    </row>
    <row r="63" spans="2:7" ht="20" customHeight="1" x14ac:dyDescent="0.35">
      <c r="B63" s="36"/>
      <c r="C63" s="37"/>
      <c r="D63" s="37"/>
      <c r="E63" s="38"/>
      <c r="F63" s="37"/>
      <c r="G63" s="37"/>
    </row>
    <row r="64" spans="2:7" ht="20" customHeight="1" x14ac:dyDescent="0.35">
      <c r="B64" s="33"/>
      <c r="C64" s="34"/>
      <c r="D64" s="34"/>
      <c r="E64" s="35"/>
      <c r="F64" s="34"/>
      <c r="G64" s="34"/>
    </row>
    <row r="65" spans="2:7" ht="20" customHeight="1" x14ac:dyDescent="0.35">
      <c r="B65" s="36"/>
      <c r="C65" s="37"/>
      <c r="D65" s="37"/>
      <c r="E65" s="38"/>
      <c r="F65" s="37"/>
      <c r="G65" s="37"/>
    </row>
    <row r="66" spans="2:7" ht="20" customHeight="1" x14ac:dyDescent="0.35">
      <c r="B66" s="33"/>
      <c r="C66" s="34"/>
      <c r="D66" s="34"/>
      <c r="E66" s="35"/>
      <c r="F66" s="34"/>
      <c r="G66" s="34"/>
    </row>
    <row r="67" spans="2:7" ht="20" customHeight="1" x14ac:dyDescent="0.35">
      <c r="B67" s="36"/>
      <c r="C67" s="37"/>
      <c r="D67" s="37"/>
      <c r="E67" s="38"/>
      <c r="F67" s="37"/>
      <c r="G67" s="37"/>
    </row>
    <row r="68" spans="2:7" ht="20" customHeight="1" x14ac:dyDescent="0.35">
      <c r="B68" s="33"/>
      <c r="C68" s="34"/>
      <c r="D68" s="34"/>
      <c r="E68" s="35"/>
      <c r="F68" s="34"/>
      <c r="G68" s="34"/>
    </row>
    <row r="69" spans="2:7" ht="20" customHeight="1" x14ac:dyDescent="0.35">
      <c r="B69" s="36"/>
      <c r="C69" s="37"/>
      <c r="D69" s="37"/>
      <c r="E69" s="38"/>
      <c r="F69" s="37"/>
      <c r="G69" s="37"/>
    </row>
    <row r="70" spans="2:7" ht="20" customHeight="1" x14ac:dyDescent="0.35">
      <c r="B70" s="33"/>
      <c r="C70" s="34"/>
      <c r="D70" s="34"/>
      <c r="E70" s="35"/>
      <c r="F70" s="34"/>
      <c r="G70" s="34"/>
    </row>
    <row r="71" spans="2:7" ht="20" customHeight="1" x14ac:dyDescent="0.35">
      <c r="B71" s="36"/>
      <c r="C71" s="37"/>
      <c r="D71" s="37"/>
      <c r="E71" s="38"/>
      <c r="F71" s="37"/>
      <c r="G71" s="37"/>
    </row>
    <row r="72" spans="2:7" ht="20" customHeight="1" x14ac:dyDescent="0.35">
      <c r="B72" s="33"/>
      <c r="C72" s="34"/>
      <c r="D72" s="34"/>
      <c r="E72" s="35"/>
      <c r="F72" s="34"/>
      <c r="G72" s="34"/>
    </row>
    <row r="73" spans="2:7" ht="20" customHeight="1" x14ac:dyDescent="0.35">
      <c r="B73" s="36"/>
      <c r="C73" s="37"/>
      <c r="D73" s="37"/>
      <c r="E73" s="38"/>
      <c r="F73" s="37"/>
      <c r="G73" s="37"/>
    </row>
    <row r="74" spans="2:7" ht="20" customHeight="1" x14ac:dyDescent="0.35">
      <c r="B74" s="33"/>
      <c r="C74" s="34"/>
      <c r="D74" s="34"/>
      <c r="E74" s="35"/>
      <c r="F74" s="34"/>
      <c r="G74" s="34"/>
    </row>
    <row r="75" spans="2:7" ht="20" customHeight="1" x14ac:dyDescent="0.35">
      <c r="B75" s="36"/>
      <c r="C75" s="37"/>
      <c r="D75" s="37"/>
      <c r="E75" s="38"/>
      <c r="F75" s="37"/>
      <c r="G75" s="37"/>
    </row>
    <row r="76" spans="2:7" ht="20" customHeight="1" x14ac:dyDescent="0.35">
      <c r="B76" s="33"/>
      <c r="C76" s="34"/>
      <c r="D76" s="34"/>
      <c r="E76" s="35"/>
      <c r="F76" s="34"/>
      <c r="G76" s="34"/>
    </row>
    <row r="77" spans="2:7" ht="20" customHeight="1" x14ac:dyDescent="0.35">
      <c r="B77" s="36"/>
      <c r="C77" s="37"/>
      <c r="D77" s="37"/>
      <c r="E77" s="38"/>
      <c r="F77" s="37"/>
      <c r="G77" s="37"/>
    </row>
    <row r="78" spans="2:7" ht="20" customHeight="1" x14ac:dyDescent="0.35">
      <c r="B78" s="33"/>
      <c r="C78" s="34"/>
      <c r="D78" s="34"/>
      <c r="E78" s="35"/>
      <c r="F78" s="34"/>
      <c r="G78" s="34"/>
    </row>
    <row r="79" spans="2:7" ht="20" customHeight="1" x14ac:dyDescent="0.35">
      <c r="B79" s="36"/>
      <c r="C79" s="37"/>
      <c r="D79" s="37"/>
      <c r="E79" s="38"/>
      <c r="F79" s="37"/>
      <c r="G79" s="37"/>
    </row>
    <row r="80" spans="2:7" ht="20" customHeight="1" x14ac:dyDescent="0.35">
      <c r="B80" s="33"/>
      <c r="C80" s="34"/>
      <c r="D80" s="34"/>
      <c r="E80" s="35"/>
      <c r="F80" s="34"/>
      <c r="G80" s="34"/>
    </row>
    <row r="81" spans="2:7" ht="20" customHeight="1" x14ac:dyDescent="0.35">
      <c r="B81" s="36"/>
      <c r="C81" s="37"/>
      <c r="D81" s="37"/>
      <c r="E81" s="38"/>
      <c r="F81" s="37"/>
      <c r="G81" s="37"/>
    </row>
    <row r="82" spans="2:7" ht="20" customHeight="1" x14ac:dyDescent="0.35">
      <c r="B82" s="33"/>
      <c r="C82" s="34"/>
      <c r="D82" s="34"/>
      <c r="E82" s="35"/>
      <c r="F82" s="34"/>
      <c r="G82" s="34"/>
    </row>
    <row r="83" spans="2:7" ht="20" customHeight="1" x14ac:dyDescent="0.35">
      <c r="B83" s="36"/>
      <c r="C83" s="37"/>
      <c r="D83" s="37"/>
      <c r="E83" s="38"/>
      <c r="F83" s="37"/>
      <c r="G83" s="37"/>
    </row>
    <row r="84" spans="2:7" ht="20" customHeight="1" x14ac:dyDescent="0.35">
      <c r="B84" s="33"/>
      <c r="C84" s="34"/>
      <c r="D84" s="34"/>
      <c r="E84" s="35"/>
      <c r="F84" s="34"/>
      <c r="G84" s="34"/>
    </row>
    <row r="85" spans="2:7" ht="20" customHeight="1" x14ac:dyDescent="0.35">
      <c r="B85" s="36"/>
      <c r="C85" s="37"/>
      <c r="D85" s="37"/>
      <c r="E85" s="38"/>
      <c r="F85" s="37"/>
      <c r="G85" s="37"/>
    </row>
    <row r="86" spans="2:7" ht="20" customHeight="1" x14ac:dyDescent="0.35">
      <c r="B86" s="33"/>
      <c r="C86" s="34"/>
      <c r="D86" s="34"/>
      <c r="E86" s="35"/>
      <c r="F86" s="34"/>
      <c r="G86" s="34"/>
    </row>
    <row r="87" spans="2:7" ht="20" customHeight="1" x14ac:dyDescent="0.35">
      <c r="B87" s="36"/>
      <c r="C87" s="37"/>
      <c r="D87" s="37"/>
      <c r="E87" s="38"/>
      <c r="F87" s="37"/>
      <c r="G87" s="37"/>
    </row>
    <row r="88" spans="2:7" ht="20" customHeight="1" x14ac:dyDescent="0.35">
      <c r="B88" s="33"/>
      <c r="C88" s="34"/>
      <c r="D88" s="34"/>
      <c r="E88" s="35"/>
      <c r="F88" s="34"/>
      <c r="G88" s="34"/>
    </row>
    <row r="89" spans="2:7" ht="20" customHeight="1" x14ac:dyDescent="0.35">
      <c r="B89" s="36"/>
      <c r="C89" s="37"/>
      <c r="D89" s="37"/>
      <c r="E89" s="38"/>
      <c r="F89" s="37"/>
      <c r="G89" s="37"/>
    </row>
    <row r="90" spans="2:7" ht="20" customHeight="1" x14ac:dyDescent="0.35">
      <c r="B90" s="33"/>
      <c r="C90" s="34"/>
      <c r="D90" s="34"/>
      <c r="E90" s="35"/>
      <c r="F90" s="34"/>
      <c r="G90" s="34"/>
    </row>
    <row r="91" spans="2:7" ht="20" customHeight="1" x14ac:dyDescent="0.35">
      <c r="B91" s="36"/>
      <c r="C91" s="37"/>
      <c r="D91" s="37"/>
      <c r="E91" s="38"/>
      <c r="F91" s="37"/>
      <c r="G91" s="37"/>
    </row>
    <row r="92" spans="2:7" ht="20" customHeight="1" x14ac:dyDescent="0.35">
      <c r="B92" s="33"/>
      <c r="C92" s="34"/>
      <c r="D92" s="34"/>
      <c r="E92" s="35"/>
      <c r="F92" s="34"/>
      <c r="G92" s="34"/>
    </row>
    <row r="93" spans="2:7" ht="20" customHeight="1" x14ac:dyDescent="0.35">
      <c r="B93" s="36"/>
      <c r="C93" s="37"/>
      <c r="D93" s="37"/>
      <c r="E93" s="38"/>
      <c r="F93" s="37"/>
      <c r="G93" s="37"/>
    </row>
    <row r="94" spans="2:7" ht="20" customHeight="1" x14ac:dyDescent="0.35">
      <c r="B94" s="33"/>
      <c r="C94" s="34"/>
      <c r="D94" s="34"/>
      <c r="E94" s="35"/>
      <c r="F94" s="34"/>
      <c r="G94" s="34"/>
    </row>
    <row r="95" spans="2:7" ht="20" customHeight="1" x14ac:dyDescent="0.35">
      <c r="B95" s="36"/>
      <c r="C95" s="37"/>
      <c r="D95" s="37"/>
      <c r="E95" s="38"/>
      <c r="F95" s="37"/>
      <c r="G95" s="37"/>
    </row>
    <row r="96" spans="2:7" ht="20" customHeight="1" x14ac:dyDescent="0.35">
      <c r="B96" s="33"/>
      <c r="C96" s="34"/>
      <c r="D96" s="34"/>
      <c r="E96" s="35"/>
      <c r="F96" s="34"/>
      <c r="G96" s="34"/>
    </row>
    <row r="97" spans="2:7" ht="20" customHeight="1" x14ac:dyDescent="0.35">
      <c r="B97" s="36"/>
      <c r="C97" s="37"/>
      <c r="D97" s="37"/>
      <c r="E97" s="38"/>
      <c r="F97" s="37"/>
      <c r="G97" s="37"/>
    </row>
    <row r="98" spans="2:7" ht="20" customHeight="1" x14ac:dyDescent="0.35">
      <c r="B98" s="33"/>
      <c r="C98" s="34"/>
      <c r="D98" s="34"/>
      <c r="E98" s="35"/>
      <c r="F98" s="34"/>
      <c r="G98" s="34"/>
    </row>
    <row r="99" spans="2:7" ht="20" customHeight="1" x14ac:dyDescent="0.35">
      <c r="B99" s="36"/>
      <c r="C99" s="37"/>
      <c r="D99" s="37"/>
      <c r="E99" s="38"/>
      <c r="F99" s="37"/>
      <c r="G99" s="37"/>
    </row>
    <row r="100" spans="2:7" ht="20" customHeight="1" x14ac:dyDescent="0.35">
      <c r="B100" s="33"/>
      <c r="C100" s="34"/>
      <c r="D100" s="34"/>
      <c r="E100" s="35"/>
      <c r="F100" s="34"/>
      <c r="G100" s="34"/>
    </row>
    <row r="101" spans="2:7" ht="20" customHeight="1" x14ac:dyDescent="0.35">
      <c r="B101" s="36"/>
      <c r="C101" s="37"/>
      <c r="D101" s="37"/>
      <c r="E101" s="38"/>
      <c r="F101" s="37"/>
      <c r="G101" s="37"/>
    </row>
    <row r="102" spans="2:7" ht="20" customHeight="1" x14ac:dyDescent="0.35">
      <c r="B102" s="33"/>
      <c r="C102" s="34"/>
      <c r="D102" s="34"/>
      <c r="E102" s="35"/>
      <c r="F102" s="34"/>
      <c r="G102" s="34"/>
    </row>
    <row r="103" spans="2:7" ht="20" customHeight="1" x14ac:dyDescent="0.35">
      <c r="B103" s="36"/>
      <c r="C103" s="37"/>
      <c r="D103" s="37"/>
      <c r="E103" s="38"/>
      <c r="F103" s="37"/>
      <c r="G103" s="37"/>
    </row>
    <row r="104" spans="2:7" ht="20" customHeight="1" x14ac:dyDescent="0.35">
      <c r="B104" s="33"/>
      <c r="C104" s="34"/>
      <c r="D104" s="34"/>
      <c r="E104" s="35"/>
      <c r="F104" s="34"/>
      <c r="G104" s="34"/>
    </row>
    <row r="105" spans="2:7" ht="20" customHeight="1" x14ac:dyDescent="0.35">
      <c r="B105" s="36"/>
      <c r="C105" s="37"/>
      <c r="D105" s="37"/>
      <c r="E105" s="38"/>
      <c r="F105" s="37"/>
      <c r="G105" s="37"/>
    </row>
    <row r="106" spans="2:7" ht="20" customHeight="1" x14ac:dyDescent="0.35">
      <c r="B106" s="33"/>
      <c r="C106" s="34"/>
      <c r="D106" s="34"/>
      <c r="E106" s="35"/>
      <c r="F106" s="34"/>
      <c r="G106" s="34"/>
    </row>
    <row r="107" spans="2:7" ht="20" customHeight="1" x14ac:dyDescent="0.35">
      <c r="B107" s="36"/>
      <c r="C107" s="37"/>
      <c r="D107" s="37"/>
      <c r="E107" s="38"/>
      <c r="F107" s="37"/>
      <c r="G107" s="37"/>
    </row>
    <row r="108" spans="2:7" ht="20" customHeight="1" x14ac:dyDescent="0.35">
      <c r="B108" s="33"/>
      <c r="C108" s="34"/>
      <c r="D108" s="34"/>
      <c r="E108" s="35"/>
      <c r="F108" s="34"/>
      <c r="G108" s="34"/>
    </row>
    <row r="109" spans="2:7" ht="20" customHeight="1" x14ac:dyDescent="0.35">
      <c r="B109" s="36"/>
      <c r="C109" s="37"/>
      <c r="D109" s="37"/>
      <c r="E109" s="38"/>
      <c r="F109" s="37"/>
      <c r="G109" s="37"/>
    </row>
    <row r="110" spans="2:7" ht="20" customHeight="1" x14ac:dyDescent="0.35">
      <c r="B110" s="33"/>
      <c r="C110" s="34"/>
      <c r="D110" s="34"/>
      <c r="E110" s="35"/>
      <c r="F110" s="34"/>
      <c r="G110" s="34"/>
    </row>
    <row r="111" spans="2:7" ht="20" customHeight="1" x14ac:dyDescent="0.35">
      <c r="B111" s="36"/>
      <c r="C111" s="37"/>
      <c r="D111" s="37"/>
      <c r="E111" s="38"/>
      <c r="F111" s="37"/>
      <c r="G111" s="37"/>
    </row>
    <row r="112" spans="2:7" ht="20" customHeight="1" x14ac:dyDescent="0.35">
      <c r="B112" s="33"/>
      <c r="C112" s="34"/>
      <c r="D112" s="34"/>
      <c r="E112" s="35"/>
      <c r="F112" s="34"/>
      <c r="G112" s="34"/>
    </row>
    <row r="113" spans="2:7" ht="20" customHeight="1" x14ac:dyDescent="0.35">
      <c r="B113" s="36"/>
      <c r="C113" s="37"/>
      <c r="D113" s="37"/>
      <c r="E113" s="38"/>
      <c r="F113" s="37"/>
      <c r="G113" s="37"/>
    </row>
    <row r="114" spans="2:7" ht="20" customHeight="1" x14ac:dyDescent="0.35">
      <c r="B114" s="33"/>
      <c r="C114" s="34"/>
      <c r="D114" s="34"/>
      <c r="E114" s="35"/>
      <c r="F114" s="34"/>
      <c r="G114" s="34"/>
    </row>
    <row r="115" spans="2:7" ht="20" customHeight="1" x14ac:dyDescent="0.35">
      <c r="B115" s="36"/>
      <c r="C115" s="37"/>
      <c r="D115" s="37"/>
      <c r="E115" s="38"/>
      <c r="F115" s="37"/>
      <c r="G115" s="37"/>
    </row>
    <row r="116" spans="2:7" ht="20" customHeight="1" x14ac:dyDescent="0.35">
      <c r="B116" s="33"/>
      <c r="C116" s="34"/>
      <c r="D116" s="34"/>
      <c r="E116" s="35"/>
      <c r="F116" s="34"/>
      <c r="G116" s="34"/>
    </row>
    <row r="117" spans="2:7" ht="20" customHeight="1" x14ac:dyDescent="0.35">
      <c r="B117" s="36"/>
      <c r="C117" s="37"/>
      <c r="D117" s="37"/>
      <c r="E117" s="38"/>
      <c r="F117" s="37"/>
      <c r="G117" s="37"/>
    </row>
    <row r="118" spans="2:7" ht="20" customHeight="1" x14ac:dyDescent="0.35">
      <c r="B118" s="33"/>
      <c r="C118" s="34"/>
      <c r="D118" s="34"/>
      <c r="E118" s="35"/>
      <c r="F118" s="34"/>
      <c r="G118" s="34"/>
    </row>
    <row r="119" spans="2:7" ht="20" customHeight="1" x14ac:dyDescent="0.35">
      <c r="B119" s="36"/>
      <c r="C119" s="37"/>
      <c r="D119" s="37"/>
      <c r="E119" s="38"/>
      <c r="F119" s="37"/>
      <c r="G119" s="37"/>
    </row>
    <row r="120" spans="2:7" ht="20" customHeight="1" x14ac:dyDescent="0.35">
      <c r="B120" s="33"/>
      <c r="C120" s="34"/>
      <c r="D120" s="34"/>
      <c r="E120" s="35"/>
      <c r="F120" s="34"/>
      <c r="G120" s="34"/>
    </row>
    <row r="121" spans="2:7" ht="20" customHeight="1" x14ac:dyDescent="0.35">
      <c r="B121" s="36"/>
      <c r="C121" s="37"/>
      <c r="D121" s="37"/>
      <c r="E121" s="38"/>
      <c r="F121" s="37"/>
      <c r="G121" s="37"/>
    </row>
    <row r="122" spans="2:7" ht="20" customHeight="1" x14ac:dyDescent="0.35">
      <c r="B122" s="33"/>
      <c r="C122" s="34"/>
      <c r="D122" s="34"/>
      <c r="E122" s="35"/>
      <c r="F122" s="34"/>
      <c r="G122" s="34"/>
    </row>
    <row r="123" spans="2:7" ht="20" customHeight="1" x14ac:dyDescent="0.35">
      <c r="B123" s="36"/>
      <c r="C123" s="37"/>
      <c r="D123" s="37"/>
      <c r="E123" s="38"/>
      <c r="F123" s="37"/>
      <c r="G123" s="37"/>
    </row>
    <row r="124" spans="2:7" ht="20" customHeight="1" x14ac:dyDescent="0.35">
      <c r="B124" s="33"/>
      <c r="C124" s="34"/>
      <c r="D124" s="34"/>
      <c r="E124" s="35"/>
      <c r="F124" s="34"/>
      <c r="G124" s="34"/>
    </row>
    <row r="125" spans="2:7" ht="20" customHeight="1" x14ac:dyDescent="0.35">
      <c r="B125" s="36"/>
      <c r="C125" s="37"/>
      <c r="D125" s="37"/>
      <c r="E125" s="38"/>
      <c r="F125" s="37"/>
      <c r="G125" s="37"/>
    </row>
    <row r="126" spans="2:7" ht="20" customHeight="1" x14ac:dyDescent="0.35">
      <c r="B126" s="33"/>
      <c r="C126" s="34"/>
      <c r="D126" s="34"/>
      <c r="E126" s="35"/>
      <c r="F126" s="34"/>
      <c r="G126" s="34"/>
    </row>
    <row r="127" spans="2:7" ht="20" customHeight="1" x14ac:dyDescent="0.35">
      <c r="B127" s="36"/>
      <c r="C127" s="37"/>
      <c r="D127" s="37"/>
      <c r="E127" s="38"/>
      <c r="F127" s="37"/>
      <c r="G127" s="37"/>
    </row>
    <row r="128" spans="2:7" ht="20" customHeight="1" x14ac:dyDescent="0.35">
      <c r="B128" s="33"/>
      <c r="C128" s="34"/>
      <c r="D128" s="34"/>
      <c r="E128" s="35"/>
      <c r="F128" s="34"/>
      <c r="G128" s="34"/>
    </row>
    <row r="129" spans="2:7" ht="20" customHeight="1" x14ac:dyDescent="0.35">
      <c r="B129" s="36"/>
      <c r="C129" s="37"/>
      <c r="D129" s="37"/>
      <c r="E129" s="38"/>
      <c r="F129" s="37"/>
      <c r="G129" s="37"/>
    </row>
    <row r="130" spans="2:7" ht="20" customHeight="1" x14ac:dyDescent="0.35">
      <c r="B130" s="33"/>
      <c r="C130" s="34"/>
      <c r="D130" s="34"/>
      <c r="E130" s="35"/>
      <c r="F130" s="34"/>
      <c r="G130" s="34"/>
    </row>
    <row r="131" spans="2:7" ht="20" customHeight="1" x14ac:dyDescent="0.35">
      <c r="B131" s="36"/>
      <c r="C131" s="37"/>
      <c r="D131" s="37"/>
      <c r="E131" s="38"/>
      <c r="F131" s="37"/>
      <c r="G131" s="37"/>
    </row>
    <row r="132" spans="2:7" ht="20" customHeight="1" x14ac:dyDescent="0.35">
      <c r="B132" s="33"/>
      <c r="C132" s="34"/>
      <c r="D132" s="34"/>
      <c r="E132" s="35"/>
      <c r="F132" s="34"/>
      <c r="G132" s="34"/>
    </row>
    <row r="133" spans="2:7" ht="20" customHeight="1" x14ac:dyDescent="0.35">
      <c r="B133" s="36"/>
      <c r="C133" s="37"/>
      <c r="D133" s="37"/>
      <c r="E133" s="38"/>
      <c r="F133" s="37"/>
      <c r="G133" s="37"/>
    </row>
    <row r="134" spans="2:7" ht="20" customHeight="1" x14ac:dyDescent="0.35">
      <c r="B134" s="33"/>
      <c r="C134" s="34"/>
      <c r="D134" s="34"/>
      <c r="E134" s="35"/>
      <c r="F134" s="34"/>
      <c r="G134" s="34"/>
    </row>
    <row r="135" spans="2:7" ht="20" customHeight="1" x14ac:dyDescent="0.35">
      <c r="B135" s="36"/>
      <c r="C135" s="37"/>
      <c r="D135" s="37"/>
      <c r="E135" s="38"/>
      <c r="F135" s="37"/>
      <c r="G135" s="37"/>
    </row>
    <row r="136" spans="2:7" ht="20" customHeight="1" x14ac:dyDescent="0.35">
      <c r="B136" s="33"/>
      <c r="C136" s="34"/>
      <c r="D136" s="34"/>
      <c r="E136" s="35"/>
      <c r="F136" s="34"/>
      <c r="G136" s="34"/>
    </row>
    <row r="137" spans="2:7" ht="20" customHeight="1" x14ac:dyDescent="0.35">
      <c r="B137" s="36"/>
      <c r="C137" s="37"/>
      <c r="D137" s="37"/>
      <c r="E137" s="38"/>
      <c r="F137" s="37"/>
      <c r="G137" s="37"/>
    </row>
    <row r="138" spans="2:7" ht="20" customHeight="1" x14ac:dyDescent="0.35">
      <c r="B138" s="33"/>
      <c r="C138" s="34"/>
      <c r="D138" s="34"/>
      <c r="E138" s="35"/>
      <c r="F138" s="34"/>
      <c r="G138" s="34"/>
    </row>
    <row r="139" spans="2:7" ht="20" customHeight="1" x14ac:dyDescent="0.35">
      <c r="B139" s="36"/>
      <c r="C139" s="37"/>
      <c r="D139" s="37"/>
      <c r="E139" s="38"/>
      <c r="F139" s="37"/>
      <c r="G139" s="37"/>
    </row>
    <row r="140" spans="2:7" ht="20" customHeight="1" x14ac:dyDescent="0.35">
      <c r="B140" s="33"/>
      <c r="C140" s="34"/>
      <c r="D140" s="34"/>
      <c r="E140" s="35"/>
      <c r="F140" s="34"/>
      <c r="G140" s="34"/>
    </row>
    <row r="141" spans="2:7" ht="20" customHeight="1" x14ac:dyDescent="0.35">
      <c r="B141" s="36"/>
      <c r="C141" s="37"/>
      <c r="D141" s="37"/>
      <c r="E141" s="38"/>
      <c r="F141" s="37"/>
      <c r="G141" s="37"/>
    </row>
    <row r="142" spans="2:7" ht="20" customHeight="1" x14ac:dyDescent="0.35">
      <c r="B142" s="33"/>
      <c r="C142" s="34"/>
      <c r="D142" s="34"/>
      <c r="E142" s="35"/>
      <c r="F142" s="34"/>
      <c r="G142" s="34"/>
    </row>
    <row r="143" spans="2:7" ht="20" customHeight="1" x14ac:dyDescent="0.35">
      <c r="B143" s="36"/>
      <c r="C143" s="37"/>
      <c r="D143" s="37"/>
      <c r="E143" s="38"/>
      <c r="F143" s="37"/>
      <c r="G143" s="37"/>
    </row>
    <row r="144" spans="2:7" ht="20" customHeight="1" x14ac:dyDescent="0.35">
      <c r="B144" s="33"/>
      <c r="C144" s="34"/>
      <c r="D144" s="34"/>
      <c r="E144" s="35"/>
      <c r="F144" s="34"/>
      <c r="G144" s="34"/>
    </row>
    <row r="145" spans="2:7" ht="20" customHeight="1" x14ac:dyDescent="0.35">
      <c r="B145" s="36"/>
      <c r="C145" s="37"/>
      <c r="D145" s="37"/>
      <c r="E145" s="38"/>
      <c r="F145" s="37"/>
      <c r="G145" s="37"/>
    </row>
    <row r="146" spans="2:7" ht="20" customHeight="1" x14ac:dyDescent="0.35">
      <c r="B146" s="33"/>
      <c r="C146" s="34"/>
      <c r="D146" s="34"/>
      <c r="E146" s="35"/>
      <c r="F146" s="34"/>
      <c r="G146" s="34"/>
    </row>
    <row r="147" spans="2:7" ht="20" customHeight="1" x14ac:dyDescent="0.35">
      <c r="B147" s="36"/>
      <c r="C147" s="37"/>
      <c r="D147" s="37"/>
      <c r="E147" s="38"/>
      <c r="F147" s="37"/>
      <c r="G147" s="37"/>
    </row>
    <row r="148" spans="2:7" ht="20" customHeight="1" x14ac:dyDescent="0.35">
      <c r="B148" s="33"/>
      <c r="C148" s="34"/>
      <c r="D148" s="34"/>
      <c r="E148" s="35"/>
      <c r="F148" s="34"/>
      <c r="G148" s="34"/>
    </row>
    <row r="149" spans="2:7" ht="20" customHeight="1" x14ac:dyDescent="0.35">
      <c r="B149" s="36"/>
      <c r="C149" s="37"/>
      <c r="D149" s="37"/>
      <c r="E149" s="38"/>
      <c r="F149" s="37"/>
      <c r="G149" s="37"/>
    </row>
    <row r="150" spans="2:7" ht="20" customHeight="1" x14ac:dyDescent="0.35">
      <c r="B150" s="33"/>
      <c r="C150" s="34"/>
      <c r="D150" s="34"/>
      <c r="E150" s="35"/>
      <c r="F150" s="34"/>
      <c r="G150" s="34"/>
    </row>
    <row r="151" spans="2:7" ht="20" customHeight="1" x14ac:dyDescent="0.35">
      <c r="B151" s="36"/>
      <c r="C151" s="37"/>
      <c r="D151" s="37"/>
      <c r="E151" s="38"/>
      <c r="F151" s="37"/>
      <c r="G151" s="37"/>
    </row>
    <row r="152" spans="2:7" ht="20" customHeight="1" x14ac:dyDescent="0.35">
      <c r="B152" s="33"/>
      <c r="C152" s="34"/>
      <c r="D152" s="34"/>
      <c r="E152" s="35"/>
      <c r="F152" s="34"/>
      <c r="G152" s="34"/>
    </row>
    <row r="153" spans="2:7" ht="20" customHeight="1" x14ac:dyDescent="0.35">
      <c r="B153" s="36"/>
      <c r="C153" s="37"/>
      <c r="D153" s="37"/>
      <c r="E153" s="38"/>
      <c r="F153" s="37"/>
      <c r="G153" s="37"/>
    </row>
    <row r="154" spans="2:7" ht="20" customHeight="1" x14ac:dyDescent="0.35">
      <c r="B154" s="33"/>
      <c r="C154" s="34"/>
      <c r="D154" s="34"/>
      <c r="E154" s="35"/>
      <c r="F154" s="34"/>
      <c r="G154" s="34"/>
    </row>
    <row r="155" spans="2:7" ht="20" customHeight="1" x14ac:dyDescent="0.35">
      <c r="B155" s="36"/>
      <c r="C155" s="37"/>
      <c r="D155" s="37"/>
      <c r="E155" s="38"/>
      <c r="F155" s="37"/>
      <c r="G155" s="37"/>
    </row>
    <row r="156" spans="2:7" ht="20" customHeight="1" x14ac:dyDescent="0.35">
      <c r="B156" s="33"/>
      <c r="C156" s="34"/>
      <c r="D156" s="34"/>
      <c r="E156" s="35"/>
      <c r="F156" s="34"/>
      <c r="G156" s="34"/>
    </row>
    <row r="157" spans="2:7" ht="20" customHeight="1" x14ac:dyDescent="0.35">
      <c r="B157" s="36"/>
      <c r="C157" s="37"/>
      <c r="D157" s="37"/>
      <c r="E157" s="38"/>
      <c r="F157" s="37"/>
      <c r="G157" s="37"/>
    </row>
    <row r="158" spans="2:7" ht="20" customHeight="1" x14ac:dyDescent="0.35">
      <c r="B158" s="33"/>
      <c r="C158" s="34"/>
      <c r="D158" s="34"/>
      <c r="E158" s="35"/>
      <c r="F158" s="34"/>
      <c r="G158" s="34"/>
    </row>
    <row r="159" spans="2:7" ht="20" customHeight="1" x14ac:dyDescent="0.35">
      <c r="B159" s="36"/>
      <c r="C159" s="37"/>
      <c r="D159" s="37"/>
      <c r="E159" s="38"/>
      <c r="F159" s="37"/>
      <c r="G159" s="37"/>
    </row>
    <row r="160" spans="2:7" ht="20" customHeight="1" x14ac:dyDescent="0.35">
      <c r="B160" s="33"/>
      <c r="C160" s="34"/>
      <c r="D160" s="34"/>
      <c r="E160" s="35"/>
      <c r="F160" s="34"/>
      <c r="G160" s="34"/>
    </row>
    <row r="161" spans="2:7" ht="20" customHeight="1" x14ac:dyDescent="0.35">
      <c r="B161" s="36"/>
      <c r="C161" s="37"/>
      <c r="D161" s="37"/>
      <c r="E161" s="38"/>
      <c r="F161" s="37"/>
      <c r="G161" s="37"/>
    </row>
    <row r="162" spans="2:7" ht="20" customHeight="1" x14ac:dyDescent="0.35">
      <c r="B162" s="33"/>
      <c r="C162" s="34"/>
      <c r="D162" s="34"/>
      <c r="E162" s="35"/>
      <c r="F162" s="34"/>
      <c r="G162" s="34"/>
    </row>
    <row r="163" spans="2:7" ht="20" customHeight="1" x14ac:dyDescent="0.35">
      <c r="B163" s="36"/>
      <c r="C163" s="37"/>
      <c r="D163" s="37"/>
      <c r="E163" s="38"/>
      <c r="F163" s="37"/>
      <c r="G163" s="37"/>
    </row>
    <row r="164" spans="2:7" ht="20" customHeight="1" x14ac:dyDescent="0.35">
      <c r="B164" s="33"/>
      <c r="C164" s="34"/>
      <c r="D164" s="34"/>
      <c r="E164" s="35"/>
      <c r="F164" s="34"/>
      <c r="G164" s="34"/>
    </row>
    <row r="165" spans="2:7" ht="20" customHeight="1" x14ac:dyDescent="0.35">
      <c r="B165" s="36"/>
      <c r="C165" s="37"/>
      <c r="D165" s="37"/>
      <c r="E165" s="38"/>
      <c r="F165" s="37"/>
      <c r="G165" s="37"/>
    </row>
    <row r="166" spans="2:7" ht="20" customHeight="1" x14ac:dyDescent="0.35">
      <c r="B166" s="33"/>
      <c r="C166" s="34"/>
      <c r="D166" s="34"/>
      <c r="E166" s="35"/>
      <c r="F166" s="34"/>
      <c r="G166" s="34"/>
    </row>
    <row r="167" spans="2:7" ht="20" customHeight="1" x14ac:dyDescent="0.35">
      <c r="B167" s="36"/>
      <c r="C167" s="37"/>
      <c r="D167" s="37"/>
      <c r="E167" s="38"/>
      <c r="F167" s="37"/>
      <c r="G167" s="37"/>
    </row>
    <row r="168" spans="2:7" ht="20" customHeight="1" x14ac:dyDescent="0.35">
      <c r="B168" s="33"/>
      <c r="C168" s="34"/>
      <c r="D168" s="34"/>
      <c r="E168" s="35"/>
      <c r="F168" s="34"/>
      <c r="G168" s="34"/>
    </row>
    <row r="169" spans="2:7" ht="20" customHeight="1" x14ac:dyDescent="0.35">
      <c r="B169" s="36"/>
      <c r="C169" s="37"/>
      <c r="D169" s="37"/>
      <c r="E169" s="38"/>
      <c r="F169" s="37"/>
      <c r="G169" s="37"/>
    </row>
    <row r="170" spans="2:7" ht="20" customHeight="1" x14ac:dyDescent="0.35">
      <c r="B170" s="33"/>
      <c r="C170" s="34"/>
      <c r="D170" s="34"/>
      <c r="E170" s="35"/>
      <c r="F170" s="34"/>
      <c r="G170" s="34"/>
    </row>
    <row r="171" spans="2:7" ht="20" customHeight="1" x14ac:dyDescent="0.35">
      <c r="B171" s="36"/>
      <c r="C171" s="37"/>
      <c r="D171" s="37"/>
      <c r="E171" s="38"/>
      <c r="F171" s="37"/>
      <c r="G171" s="37"/>
    </row>
    <row r="172" spans="2:7" ht="20" customHeight="1" x14ac:dyDescent="0.35">
      <c r="B172" s="33"/>
      <c r="C172" s="34"/>
      <c r="D172" s="34"/>
      <c r="E172" s="35"/>
      <c r="F172" s="34"/>
      <c r="G172" s="34"/>
    </row>
    <row r="173" spans="2:7" ht="20" customHeight="1" x14ac:dyDescent="0.35">
      <c r="B173" s="36"/>
      <c r="C173" s="37"/>
      <c r="D173" s="37"/>
      <c r="E173" s="38"/>
      <c r="F173" s="37"/>
      <c r="G173" s="37"/>
    </row>
    <row r="174" spans="2:7" ht="20" customHeight="1" x14ac:dyDescent="0.35">
      <c r="B174" s="33"/>
      <c r="C174" s="34"/>
      <c r="D174" s="34"/>
      <c r="E174" s="35"/>
      <c r="F174" s="34"/>
      <c r="G174" s="34"/>
    </row>
    <row r="175" spans="2:7" ht="20" customHeight="1" x14ac:dyDescent="0.35">
      <c r="B175" s="36"/>
      <c r="C175" s="37"/>
      <c r="D175" s="37"/>
      <c r="E175" s="38"/>
      <c r="F175" s="37"/>
      <c r="G175" s="37"/>
    </row>
    <row r="176" spans="2:7" ht="20" customHeight="1" x14ac:dyDescent="0.35">
      <c r="B176" s="33"/>
      <c r="C176" s="34"/>
      <c r="D176" s="34"/>
      <c r="E176" s="35"/>
      <c r="F176" s="34"/>
      <c r="G176" s="34"/>
    </row>
    <row r="177" spans="2:7" ht="20" customHeight="1" x14ac:dyDescent="0.35">
      <c r="B177" s="36"/>
      <c r="C177" s="37"/>
      <c r="D177" s="37"/>
      <c r="E177" s="38"/>
      <c r="F177" s="37"/>
      <c r="G177" s="37"/>
    </row>
    <row r="178" spans="2:7" ht="20" customHeight="1" x14ac:dyDescent="0.35">
      <c r="B178" s="33"/>
      <c r="C178" s="34"/>
      <c r="D178" s="34"/>
      <c r="E178" s="35"/>
      <c r="F178" s="34"/>
      <c r="G178" s="34"/>
    </row>
    <row r="179" spans="2:7" ht="20" customHeight="1" x14ac:dyDescent="0.35">
      <c r="B179" s="36"/>
      <c r="C179" s="37"/>
      <c r="D179" s="37"/>
      <c r="E179" s="38"/>
      <c r="F179" s="37"/>
      <c r="G179" s="37"/>
    </row>
    <row r="180" spans="2:7" ht="20" customHeight="1" x14ac:dyDescent="0.35">
      <c r="B180" s="33"/>
      <c r="C180" s="34"/>
      <c r="D180" s="34"/>
      <c r="E180" s="35"/>
      <c r="F180" s="34"/>
      <c r="G180" s="34"/>
    </row>
    <row r="181" spans="2:7" ht="20" customHeight="1" x14ac:dyDescent="0.35">
      <c r="B181" s="36"/>
      <c r="C181" s="37"/>
      <c r="D181" s="37"/>
      <c r="E181" s="38"/>
      <c r="F181" s="37"/>
      <c r="G181" s="37"/>
    </row>
    <row r="182" spans="2:7" ht="20" customHeight="1" x14ac:dyDescent="0.35">
      <c r="B182" s="33"/>
      <c r="C182" s="34"/>
      <c r="D182" s="34"/>
      <c r="E182" s="35"/>
      <c r="F182" s="34"/>
      <c r="G182" s="34"/>
    </row>
    <row r="183" spans="2:7" ht="20" customHeight="1" x14ac:dyDescent="0.35">
      <c r="B183" s="36"/>
      <c r="C183" s="37"/>
      <c r="D183" s="37"/>
      <c r="E183" s="38"/>
      <c r="F183" s="37"/>
      <c r="G183" s="37"/>
    </row>
    <row r="184" spans="2:7" ht="20" customHeight="1" x14ac:dyDescent="0.35">
      <c r="B184" s="33"/>
      <c r="C184" s="34"/>
      <c r="D184" s="34"/>
      <c r="E184" s="35"/>
      <c r="F184" s="34"/>
      <c r="G184" s="34"/>
    </row>
    <row r="185" spans="2:7" ht="20" customHeight="1" x14ac:dyDescent="0.35">
      <c r="B185" s="36"/>
      <c r="C185" s="37"/>
      <c r="D185" s="37"/>
      <c r="E185" s="38"/>
      <c r="F185" s="37"/>
      <c r="G185" s="37"/>
    </row>
    <row r="186" spans="2:7" ht="20" customHeight="1" x14ac:dyDescent="0.35">
      <c r="B186" s="33"/>
      <c r="C186" s="34"/>
      <c r="D186" s="34"/>
      <c r="E186" s="35"/>
      <c r="F186" s="34"/>
      <c r="G186" s="34"/>
    </row>
    <row r="187" spans="2:7" ht="20" customHeight="1" x14ac:dyDescent="0.35">
      <c r="B187" s="36"/>
      <c r="C187" s="37"/>
      <c r="D187" s="37"/>
      <c r="E187" s="38"/>
      <c r="F187" s="37"/>
      <c r="G187" s="37"/>
    </row>
    <row r="188" spans="2:7" ht="20" customHeight="1" x14ac:dyDescent="0.35">
      <c r="B188" s="33"/>
      <c r="C188" s="34"/>
      <c r="D188" s="34"/>
      <c r="E188" s="35"/>
      <c r="F188" s="34"/>
      <c r="G188" s="34"/>
    </row>
    <row r="189" spans="2:7" ht="20" customHeight="1" x14ac:dyDescent="0.35">
      <c r="B189" s="36"/>
      <c r="C189" s="37"/>
      <c r="D189" s="37"/>
      <c r="E189" s="38"/>
      <c r="F189" s="37"/>
      <c r="G189" s="37"/>
    </row>
    <row r="190" spans="2:7" ht="20" customHeight="1" x14ac:dyDescent="0.35">
      <c r="B190" s="33"/>
      <c r="C190" s="34"/>
      <c r="D190" s="34"/>
      <c r="E190" s="35"/>
      <c r="F190" s="34"/>
      <c r="G190" s="34"/>
    </row>
    <row r="191" spans="2:7" ht="20" customHeight="1" x14ac:dyDescent="0.35">
      <c r="B191" s="36"/>
      <c r="C191" s="37"/>
      <c r="D191" s="37"/>
      <c r="E191" s="38"/>
      <c r="F191" s="37"/>
      <c r="G191" s="37"/>
    </row>
    <row r="192" spans="2:7" ht="20" customHeight="1" x14ac:dyDescent="0.35">
      <c r="B192" s="33"/>
      <c r="C192" s="34"/>
      <c r="D192" s="34"/>
      <c r="E192" s="35"/>
      <c r="F192" s="34"/>
      <c r="G192" s="34"/>
    </row>
    <row r="193" spans="2:7" ht="20" customHeight="1" x14ac:dyDescent="0.35">
      <c r="B193" s="36"/>
      <c r="C193" s="37"/>
      <c r="D193" s="37"/>
      <c r="E193" s="38"/>
      <c r="F193" s="37"/>
      <c r="G193" s="37"/>
    </row>
    <row r="194" spans="2:7" ht="20" customHeight="1" x14ac:dyDescent="0.35">
      <c r="B194" s="33"/>
      <c r="C194" s="34"/>
      <c r="D194" s="34"/>
      <c r="E194" s="35"/>
      <c r="F194" s="34"/>
      <c r="G194" s="34"/>
    </row>
    <row r="195" spans="2:7" ht="20" customHeight="1" x14ac:dyDescent="0.35">
      <c r="B195" s="36"/>
      <c r="C195" s="37"/>
      <c r="D195" s="37"/>
      <c r="E195" s="38"/>
      <c r="F195" s="37"/>
      <c r="G195" s="37"/>
    </row>
    <row r="196" spans="2:7" ht="20" customHeight="1" x14ac:dyDescent="0.35">
      <c r="B196" s="33"/>
      <c r="C196" s="34"/>
      <c r="D196" s="34"/>
      <c r="E196" s="35"/>
      <c r="F196" s="34"/>
      <c r="G196" s="34"/>
    </row>
    <row r="197" spans="2:7" ht="20" customHeight="1" x14ac:dyDescent="0.35">
      <c r="B197" s="36"/>
      <c r="C197" s="37"/>
      <c r="D197" s="37"/>
      <c r="E197" s="38"/>
      <c r="F197" s="37"/>
      <c r="G197" s="37"/>
    </row>
    <row r="198" spans="2:7" ht="20" customHeight="1" x14ac:dyDescent="0.35">
      <c r="B198" s="33"/>
      <c r="C198" s="34"/>
      <c r="D198" s="34"/>
      <c r="E198" s="35"/>
      <c r="F198" s="34"/>
      <c r="G198" s="34"/>
    </row>
    <row r="199" spans="2:7" ht="20" customHeight="1" x14ac:dyDescent="0.35">
      <c r="B199" s="36"/>
      <c r="C199" s="37"/>
      <c r="D199" s="37"/>
      <c r="E199" s="38"/>
      <c r="F199" s="37"/>
      <c r="G199" s="37"/>
    </row>
    <row r="200" spans="2:7" ht="20" customHeight="1" x14ac:dyDescent="0.35">
      <c r="B200" s="33"/>
      <c r="C200" s="34"/>
      <c r="D200" s="34"/>
      <c r="E200" s="35"/>
      <c r="F200" s="34"/>
      <c r="G200" s="34"/>
    </row>
    <row r="201" spans="2:7" ht="20" customHeight="1" x14ac:dyDescent="0.35">
      <c r="B201" s="36"/>
      <c r="C201" s="37"/>
      <c r="D201" s="37"/>
      <c r="E201" s="38"/>
      <c r="F201" s="37"/>
      <c r="G201" s="37"/>
    </row>
    <row r="202" spans="2:7" ht="20" customHeight="1" x14ac:dyDescent="0.35">
      <c r="B202" s="33"/>
      <c r="C202" s="34"/>
      <c r="D202" s="34"/>
      <c r="E202" s="35"/>
      <c r="F202" s="34"/>
      <c r="G202" s="34"/>
    </row>
    <row r="203" spans="2:7" ht="20" customHeight="1" x14ac:dyDescent="0.35">
      <c r="B203" s="36"/>
      <c r="C203" s="37"/>
      <c r="D203" s="37"/>
      <c r="E203" s="38"/>
      <c r="F203" s="37"/>
      <c r="G203" s="37"/>
    </row>
    <row r="204" spans="2:7" ht="20" customHeight="1" x14ac:dyDescent="0.35">
      <c r="B204" s="33"/>
      <c r="C204" s="34"/>
      <c r="D204" s="34"/>
      <c r="E204" s="35"/>
      <c r="F204" s="34"/>
      <c r="G204" s="34"/>
    </row>
    <row r="205" spans="2:7" ht="20" customHeight="1" x14ac:dyDescent="0.35">
      <c r="B205" s="36"/>
      <c r="C205" s="37"/>
      <c r="D205" s="37"/>
      <c r="E205" s="38"/>
      <c r="F205" s="37"/>
      <c r="G205" s="37"/>
    </row>
    <row r="206" spans="2:7" ht="20" customHeight="1" x14ac:dyDescent="0.35">
      <c r="B206" s="33"/>
      <c r="C206" s="34"/>
      <c r="D206" s="34"/>
      <c r="E206" s="35"/>
      <c r="F206" s="34"/>
      <c r="G206" s="34"/>
    </row>
    <row r="207" spans="2:7" ht="20" customHeight="1" x14ac:dyDescent="0.35">
      <c r="B207" s="36"/>
      <c r="C207" s="37"/>
      <c r="D207" s="37"/>
      <c r="E207" s="38"/>
      <c r="F207" s="37"/>
      <c r="G207" s="37"/>
    </row>
    <row r="208" spans="2:7" ht="20" customHeight="1" x14ac:dyDescent="0.35">
      <c r="B208" s="33"/>
      <c r="C208" s="34"/>
      <c r="D208" s="34"/>
      <c r="E208" s="35"/>
      <c r="F208" s="34"/>
      <c r="G208" s="34"/>
    </row>
    <row r="209" spans="2:7" ht="20" customHeight="1" x14ac:dyDescent="0.35">
      <c r="B209" s="36"/>
      <c r="C209" s="37"/>
      <c r="D209" s="37"/>
      <c r="E209" s="38"/>
      <c r="F209" s="37"/>
      <c r="G209" s="37"/>
    </row>
    <row r="210" spans="2:7" ht="20" customHeight="1" x14ac:dyDescent="0.35">
      <c r="B210" s="33"/>
      <c r="C210" s="34"/>
      <c r="D210" s="34"/>
      <c r="E210" s="35"/>
      <c r="F210" s="34"/>
      <c r="G210" s="34"/>
    </row>
    <row r="211" spans="2:7" ht="20" customHeight="1" x14ac:dyDescent="0.35">
      <c r="B211" s="36"/>
      <c r="C211" s="37"/>
      <c r="D211" s="37"/>
      <c r="E211" s="38"/>
      <c r="F211" s="37"/>
      <c r="G211" s="37"/>
    </row>
    <row r="212" spans="2:7" ht="20" customHeight="1" x14ac:dyDescent="0.35">
      <c r="B212" s="33"/>
      <c r="C212" s="34"/>
      <c r="D212" s="34"/>
      <c r="E212" s="35"/>
      <c r="F212" s="34"/>
      <c r="G212" s="34"/>
    </row>
    <row r="213" spans="2:7" ht="20" customHeight="1" x14ac:dyDescent="0.35">
      <c r="B213" s="36"/>
      <c r="C213" s="37"/>
      <c r="D213" s="37"/>
      <c r="E213" s="38"/>
      <c r="F213" s="37"/>
      <c r="G213" s="37"/>
    </row>
    <row r="214" spans="2:7" ht="20" customHeight="1" x14ac:dyDescent="0.35">
      <c r="B214" s="33"/>
      <c r="C214" s="34"/>
      <c r="D214" s="34"/>
      <c r="E214" s="35"/>
      <c r="F214" s="34"/>
      <c r="G214" s="34"/>
    </row>
    <row r="215" spans="2:7" ht="20" customHeight="1" x14ac:dyDescent="0.35">
      <c r="B215" s="36"/>
      <c r="C215" s="37"/>
      <c r="D215" s="37"/>
      <c r="E215" s="38"/>
      <c r="F215" s="37"/>
      <c r="G215" s="37"/>
    </row>
    <row r="216" spans="2:7" ht="20" customHeight="1" x14ac:dyDescent="0.35">
      <c r="B216" s="33"/>
      <c r="C216" s="34"/>
      <c r="D216" s="34"/>
      <c r="E216" s="35"/>
      <c r="F216" s="34"/>
      <c r="G216" s="34"/>
    </row>
    <row r="217" spans="2:7" ht="20" customHeight="1" x14ac:dyDescent="0.35">
      <c r="B217" s="36"/>
      <c r="C217" s="37"/>
      <c r="D217" s="37"/>
      <c r="E217" s="38"/>
      <c r="F217" s="37"/>
      <c r="G217" s="37"/>
    </row>
    <row r="218" spans="2:7" ht="20" customHeight="1" x14ac:dyDescent="0.35">
      <c r="B218" s="33"/>
      <c r="C218" s="34"/>
      <c r="D218" s="34"/>
      <c r="E218" s="35"/>
      <c r="F218" s="34"/>
      <c r="G218" s="34"/>
    </row>
    <row r="219" spans="2:7" ht="20" customHeight="1" x14ac:dyDescent="0.35">
      <c r="B219" s="36"/>
      <c r="C219" s="37"/>
      <c r="D219" s="37"/>
      <c r="E219" s="38"/>
      <c r="F219" s="37"/>
      <c r="G219" s="37"/>
    </row>
  </sheetData>
  <mergeCells count="4">
    <mergeCell ref="B3:G3"/>
    <mergeCell ref="E2:G2"/>
    <mergeCell ref="B2:D2"/>
    <mergeCell ref="B1:G1"/>
  </mergeCells>
  <dataValidations count="2">
    <dataValidation type="list" allowBlank="1" showErrorMessage="1" errorTitle="Invalid category" error="Please choose a category from the dropdown list." sqref="D5:D9999" xr:uid="{00000000-0002-0000-0300-000000000000}">
      <formula1>"Housing,Food and Groceries,Transport,Health and Medical,Education,Shopping,Subscriptions,Entertainment,Travel,Savings and Investments,Miscellaneous"</formula1>
    </dataValidation>
    <dataValidation type="list" allowBlank="1" sqref="F5:F9999" xr:uid="{00000000-0002-0000-0300-000001000000}">
      <formula1>"Credit Card,Debit Card,Cash,UPI GPay,Net Banking,Auto-Debit"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G211"/>
  <sheetViews>
    <sheetView showGridLines="0" workbookViewId="0">
      <pane xSplit="1" ySplit="4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3" customWidth="1"/>
    <col min="3" max="3" width="32" customWidth="1"/>
    <col min="4" max="4" width="22" customWidth="1"/>
    <col min="5" max="5" width="16" customWidth="1"/>
    <col min="6" max="6" width="18" customWidth="1"/>
    <col min="7" max="7" width="28" customWidth="1"/>
    <col min="8" max="8" width="2" customWidth="1"/>
  </cols>
  <sheetData>
    <row r="1" spans="2:7" ht="36" customHeight="1" x14ac:dyDescent="0.35">
      <c r="B1" s="76" t="s">
        <v>146</v>
      </c>
      <c r="C1" s="54"/>
      <c r="D1" s="54"/>
      <c r="E1" s="54"/>
      <c r="F1" s="54"/>
      <c r="G1" s="54"/>
    </row>
    <row r="2" spans="2:7" ht="30" customHeight="1" x14ac:dyDescent="0.35">
      <c r="B2" s="72" t="s">
        <v>147</v>
      </c>
      <c r="C2" s="54"/>
      <c r="D2" s="54"/>
      <c r="E2" s="75">
        <f>SUM(E5:E9999)</f>
        <v>281920</v>
      </c>
      <c r="F2" s="54"/>
      <c r="G2" s="54"/>
    </row>
    <row r="3" spans="2:7" ht="18" customHeight="1" x14ac:dyDescent="0.35">
      <c r="B3" s="74" t="s">
        <v>148</v>
      </c>
      <c r="C3" s="54"/>
      <c r="D3" s="54"/>
      <c r="E3" s="54"/>
      <c r="F3" s="54"/>
      <c r="G3" s="54"/>
    </row>
    <row r="4" spans="2:7" ht="22" customHeight="1" x14ac:dyDescent="0.35">
      <c r="B4" s="14" t="s">
        <v>120</v>
      </c>
      <c r="C4" s="14" t="s">
        <v>121</v>
      </c>
      <c r="D4" s="14" t="s">
        <v>149</v>
      </c>
      <c r="E4" s="14" t="s">
        <v>122</v>
      </c>
      <c r="F4" s="14" t="s">
        <v>150</v>
      </c>
      <c r="G4" s="14" t="s">
        <v>124</v>
      </c>
    </row>
    <row r="5" spans="2:7" ht="20" customHeight="1" x14ac:dyDescent="0.35">
      <c r="B5" s="39">
        <v>45292</v>
      </c>
      <c r="C5" s="40" t="s">
        <v>151</v>
      </c>
      <c r="D5" s="40" t="s">
        <v>56</v>
      </c>
      <c r="E5" s="16">
        <v>85000</v>
      </c>
      <c r="F5" s="41" t="s">
        <v>152</v>
      </c>
      <c r="G5" s="40" t="s">
        <v>153</v>
      </c>
    </row>
    <row r="6" spans="2:7" ht="20" customHeight="1" x14ac:dyDescent="0.35">
      <c r="B6" s="31">
        <v>45306</v>
      </c>
      <c r="C6" s="10" t="s">
        <v>154</v>
      </c>
      <c r="D6" s="10" t="s">
        <v>58</v>
      </c>
      <c r="E6" s="11">
        <v>3500</v>
      </c>
      <c r="F6" s="32" t="s">
        <v>155</v>
      </c>
      <c r="G6" s="10"/>
    </row>
    <row r="7" spans="2:7" ht="20" customHeight="1" x14ac:dyDescent="0.35">
      <c r="B7" s="39">
        <v>45311</v>
      </c>
      <c r="C7" s="40" t="s">
        <v>156</v>
      </c>
      <c r="D7" s="40" t="s">
        <v>60</v>
      </c>
      <c r="E7" s="16">
        <v>420</v>
      </c>
      <c r="F7" s="41" t="s">
        <v>152</v>
      </c>
      <c r="G7" s="40" t="s">
        <v>157</v>
      </c>
    </row>
    <row r="8" spans="2:7" ht="20" customHeight="1" x14ac:dyDescent="0.35">
      <c r="B8" s="31">
        <v>45323</v>
      </c>
      <c r="C8" s="10" t="s">
        <v>158</v>
      </c>
      <c r="D8" s="10" t="s">
        <v>56</v>
      </c>
      <c r="E8" s="11">
        <v>85000</v>
      </c>
      <c r="F8" s="32" t="s">
        <v>152</v>
      </c>
      <c r="G8" s="10"/>
    </row>
    <row r="9" spans="2:7" ht="20" customHeight="1" x14ac:dyDescent="0.35">
      <c r="B9" s="39">
        <v>45334</v>
      </c>
      <c r="C9" s="40" t="s">
        <v>159</v>
      </c>
      <c r="D9" s="40" t="s">
        <v>58</v>
      </c>
      <c r="E9" s="16">
        <v>8000</v>
      </c>
      <c r="F9" s="41" t="s">
        <v>152</v>
      </c>
      <c r="G9" s="40" t="s">
        <v>160</v>
      </c>
    </row>
    <row r="10" spans="2:7" ht="20" customHeight="1" x14ac:dyDescent="0.35">
      <c r="B10" s="31">
        <v>45352</v>
      </c>
      <c r="C10" s="10" t="s">
        <v>161</v>
      </c>
      <c r="D10" s="10" t="s">
        <v>56</v>
      </c>
      <c r="E10" s="11">
        <v>85000</v>
      </c>
      <c r="F10" s="32" t="s">
        <v>152</v>
      </c>
      <c r="G10" s="10"/>
    </row>
    <row r="11" spans="2:7" ht="20" customHeight="1" x14ac:dyDescent="0.35">
      <c r="B11" s="39">
        <v>45366</v>
      </c>
      <c r="C11" s="40" t="s">
        <v>162</v>
      </c>
      <c r="D11" s="40" t="s">
        <v>61</v>
      </c>
      <c r="E11" s="16">
        <v>15000</v>
      </c>
      <c r="F11" s="41" t="s">
        <v>152</v>
      </c>
      <c r="G11" s="40"/>
    </row>
    <row r="12" spans="2:7" ht="20" customHeight="1" x14ac:dyDescent="0.35">
      <c r="B12" s="33"/>
      <c r="C12" s="34"/>
      <c r="D12" s="34"/>
      <c r="E12" s="35"/>
      <c r="F12" s="34"/>
      <c r="G12" s="34"/>
    </row>
    <row r="13" spans="2:7" ht="20" customHeight="1" x14ac:dyDescent="0.35">
      <c r="B13" s="42"/>
      <c r="C13" s="43"/>
      <c r="D13" s="43"/>
      <c r="E13" s="44"/>
      <c r="F13" s="43"/>
      <c r="G13" s="43"/>
    </row>
    <row r="14" spans="2:7" ht="20" customHeight="1" x14ac:dyDescent="0.35">
      <c r="B14" s="33"/>
      <c r="C14" s="34"/>
      <c r="D14" s="34"/>
      <c r="E14" s="35"/>
      <c r="F14" s="34"/>
      <c r="G14" s="34"/>
    </row>
    <row r="15" spans="2:7" ht="20" customHeight="1" x14ac:dyDescent="0.35">
      <c r="B15" s="42"/>
      <c r="C15" s="43"/>
      <c r="D15" s="43"/>
      <c r="E15" s="44"/>
      <c r="F15" s="43"/>
      <c r="G15" s="43"/>
    </row>
    <row r="16" spans="2:7" ht="20" customHeight="1" x14ac:dyDescent="0.35">
      <c r="B16" s="33"/>
      <c r="C16" s="34"/>
      <c r="D16" s="34"/>
      <c r="E16" s="35"/>
      <c r="F16" s="34"/>
      <c r="G16" s="34"/>
    </row>
    <row r="17" spans="2:7" ht="20" customHeight="1" x14ac:dyDescent="0.35">
      <c r="B17" s="42"/>
      <c r="C17" s="43"/>
      <c r="D17" s="43"/>
      <c r="E17" s="44"/>
      <c r="F17" s="43"/>
      <c r="G17" s="43"/>
    </row>
    <row r="18" spans="2:7" ht="20" customHeight="1" x14ac:dyDescent="0.35">
      <c r="B18" s="33"/>
      <c r="C18" s="34"/>
      <c r="D18" s="34"/>
      <c r="E18" s="35"/>
      <c r="F18" s="34"/>
      <c r="G18" s="34"/>
    </row>
    <row r="19" spans="2:7" ht="20" customHeight="1" x14ac:dyDescent="0.35">
      <c r="B19" s="42"/>
      <c r="C19" s="43"/>
      <c r="D19" s="43"/>
      <c r="E19" s="44"/>
      <c r="F19" s="43"/>
      <c r="G19" s="43"/>
    </row>
    <row r="20" spans="2:7" ht="20" customHeight="1" x14ac:dyDescent="0.35">
      <c r="B20" s="33"/>
      <c r="C20" s="34"/>
      <c r="D20" s="34"/>
      <c r="E20" s="35"/>
      <c r="F20" s="34"/>
      <c r="G20" s="34"/>
    </row>
    <row r="21" spans="2:7" ht="20" customHeight="1" x14ac:dyDescent="0.35">
      <c r="B21" s="42"/>
      <c r="C21" s="43"/>
      <c r="D21" s="43"/>
      <c r="E21" s="44"/>
      <c r="F21" s="43"/>
      <c r="G21" s="43"/>
    </row>
    <row r="22" spans="2:7" ht="20" customHeight="1" x14ac:dyDescent="0.35">
      <c r="B22" s="33"/>
      <c r="C22" s="34"/>
      <c r="D22" s="34"/>
      <c r="E22" s="35"/>
      <c r="F22" s="34"/>
      <c r="G22" s="34"/>
    </row>
    <row r="23" spans="2:7" ht="20" customHeight="1" x14ac:dyDescent="0.35">
      <c r="B23" s="42"/>
      <c r="C23" s="43"/>
      <c r="D23" s="43"/>
      <c r="E23" s="44"/>
      <c r="F23" s="43"/>
      <c r="G23" s="43"/>
    </row>
    <row r="24" spans="2:7" ht="20" customHeight="1" x14ac:dyDescent="0.35">
      <c r="B24" s="33"/>
      <c r="C24" s="34"/>
      <c r="D24" s="34"/>
      <c r="E24" s="35"/>
      <c r="F24" s="34"/>
      <c r="G24" s="34"/>
    </row>
    <row r="25" spans="2:7" ht="20" customHeight="1" x14ac:dyDescent="0.35">
      <c r="B25" s="42"/>
      <c r="C25" s="43"/>
      <c r="D25" s="43"/>
      <c r="E25" s="44"/>
      <c r="F25" s="43"/>
      <c r="G25" s="43"/>
    </row>
    <row r="26" spans="2:7" ht="20" customHeight="1" x14ac:dyDescent="0.35">
      <c r="B26" s="33"/>
      <c r="C26" s="34"/>
      <c r="D26" s="34"/>
      <c r="E26" s="35"/>
      <c r="F26" s="34"/>
      <c r="G26" s="34"/>
    </row>
    <row r="27" spans="2:7" ht="20" customHeight="1" x14ac:dyDescent="0.35">
      <c r="B27" s="42"/>
      <c r="C27" s="43"/>
      <c r="D27" s="43"/>
      <c r="E27" s="44"/>
      <c r="F27" s="43"/>
      <c r="G27" s="43"/>
    </row>
    <row r="28" spans="2:7" ht="20" customHeight="1" x14ac:dyDescent="0.35">
      <c r="B28" s="33"/>
      <c r="C28" s="34"/>
      <c r="D28" s="34"/>
      <c r="E28" s="35"/>
      <c r="F28" s="34"/>
      <c r="G28" s="34"/>
    </row>
    <row r="29" spans="2:7" ht="20" customHeight="1" x14ac:dyDescent="0.35">
      <c r="B29" s="42"/>
      <c r="C29" s="43"/>
      <c r="D29" s="43"/>
      <c r="E29" s="44"/>
      <c r="F29" s="43"/>
      <c r="G29" s="43"/>
    </row>
    <row r="30" spans="2:7" ht="20" customHeight="1" x14ac:dyDescent="0.35">
      <c r="B30" s="33"/>
      <c r="C30" s="34"/>
      <c r="D30" s="34"/>
      <c r="E30" s="35"/>
      <c r="F30" s="34"/>
      <c r="G30" s="34"/>
    </row>
    <row r="31" spans="2:7" ht="20" customHeight="1" x14ac:dyDescent="0.35">
      <c r="B31" s="42"/>
      <c r="C31" s="43"/>
      <c r="D31" s="43"/>
      <c r="E31" s="44"/>
      <c r="F31" s="43"/>
      <c r="G31" s="43"/>
    </row>
    <row r="32" spans="2:7" ht="20" customHeight="1" x14ac:dyDescent="0.35">
      <c r="B32" s="33"/>
      <c r="C32" s="34"/>
      <c r="D32" s="34"/>
      <c r="E32" s="35"/>
      <c r="F32" s="34"/>
      <c r="G32" s="34"/>
    </row>
    <row r="33" spans="2:7" ht="20" customHeight="1" x14ac:dyDescent="0.35">
      <c r="B33" s="42"/>
      <c r="C33" s="43"/>
      <c r="D33" s="43"/>
      <c r="E33" s="44"/>
      <c r="F33" s="43"/>
      <c r="G33" s="43"/>
    </row>
    <row r="34" spans="2:7" ht="20" customHeight="1" x14ac:dyDescent="0.35">
      <c r="B34" s="33"/>
      <c r="C34" s="34"/>
      <c r="D34" s="34"/>
      <c r="E34" s="35"/>
      <c r="F34" s="34"/>
      <c r="G34" s="34"/>
    </row>
    <row r="35" spans="2:7" ht="20" customHeight="1" x14ac:dyDescent="0.35">
      <c r="B35" s="42"/>
      <c r="C35" s="43"/>
      <c r="D35" s="43"/>
      <c r="E35" s="44"/>
      <c r="F35" s="43"/>
      <c r="G35" s="43"/>
    </row>
    <row r="36" spans="2:7" ht="20" customHeight="1" x14ac:dyDescent="0.35">
      <c r="B36" s="33"/>
      <c r="C36" s="34"/>
      <c r="D36" s="34"/>
      <c r="E36" s="35"/>
      <c r="F36" s="34"/>
      <c r="G36" s="34"/>
    </row>
    <row r="37" spans="2:7" ht="20" customHeight="1" x14ac:dyDescent="0.35">
      <c r="B37" s="42"/>
      <c r="C37" s="43"/>
      <c r="D37" s="43"/>
      <c r="E37" s="44"/>
      <c r="F37" s="43"/>
      <c r="G37" s="43"/>
    </row>
    <row r="38" spans="2:7" ht="20" customHeight="1" x14ac:dyDescent="0.35">
      <c r="B38" s="33"/>
      <c r="C38" s="34"/>
      <c r="D38" s="34"/>
      <c r="E38" s="35"/>
      <c r="F38" s="34"/>
      <c r="G38" s="34"/>
    </row>
    <row r="39" spans="2:7" ht="20" customHeight="1" x14ac:dyDescent="0.35">
      <c r="B39" s="42"/>
      <c r="C39" s="43"/>
      <c r="D39" s="43"/>
      <c r="E39" s="44"/>
      <c r="F39" s="43"/>
      <c r="G39" s="43"/>
    </row>
    <row r="40" spans="2:7" ht="20" customHeight="1" x14ac:dyDescent="0.35">
      <c r="B40" s="33"/>
      <c r="C40" s="34"/>
      <c r="D40" s="34"/>
      <c r="E40" s="35"/>
      <c r="F40" s="34"/>
      <c r="G40" s="34"/>
    </row>
    <row r="41" spans="2:7" ht="20" customHeight="1" x14ac:dyDescent="0.35">
      <c r="B41" s="42"/>
      <c r="C41" s="43"/>
      <c r="D41" s="43"/>
      <c r="E41" s="44"/>
      <c r="F41" s="43"/>
      <c r="G41" s="43"/>
    </row>
    <row r="42" spans="2:7" ht="20" customHeight="1" x14ac:dyDescent="0.35">
      <c r="B42" s="33"/>
      <c r="C42" s="34"/>
      <c r="D42" s="34"/>
      <c r="E42" s="35"/>
      <c r="F42" s="34"/>
      <c r="G42" s="34"/>
    </row>
    <row r="43" spans="2:7" ht="20" customHeight="1" x14ac:dyDescent="0.35">
      <c r="B43" s="42"/>
      <c r="C43" s="43"/>
      <c r="D43" s="43"/>
      <c r="E43" s="44"/>
      <c r="F43" s="43"/>
      <c r="G43" s="43"/>
    </row>
    <row r="44" spans="2:7" ht="20" customHeight="1" x14ac:dyDescent="0.35">
      <c r="B44" s="33"/>
      <c r="C44" s="34"/>
      <c r="D44" s="34"/>
      <c r="E44" s="35"/>
      <c r="F44" s="34"/>
      <c r="G44" s="34"/>
    </row>
    <row r="45" spans="2:7" ht="20" customHeight="1" x14ac:dyDescent="0.35">
      <c r="B45" s="42"/>
      <c r="C45" s="43"/>
      <c r="D45" s="43"/>
      <c r="E45" s="44"/>
      <c r="F45" s="43"/>
      <c r="G45" s="43"/>
    </row>
    <row r="46" spans="2:7" ht="20" customHeight="1" x14ac:dyDescent="0.35">
      <c r="B46" s="33"/>
      <c r="C46" s="34"/>
      <c r="D46" s="34"/>
      <c r="E46" s="35"/>
      <c r="F46" s="34"/>
      <c r="G46" s="34"/>
    </row>
    <row r="47" spans="2:7" ht="20" customHeight="1" x14ac:dyDescent="0.35">
      <c r="B47" s="42"/>
      <c r="C47" s="43"/>
      <c r="D47" s="43"/>
      <c r="E47" s="44"/>
      <c r="F47" s="43"/>
      <c r="G47" s="43"/>
    </row>
    <row r="48" spans="2:7" ht="20" customHeight="1" x14ac:dyDescent="0.35">
      <c r="B48" s="33"/>
      <c r="C48" s="34"/>
      <c r="D48" s="34"/>
      <c r="E48" s="35"/>
      <c r="F48" s="34"/>
      <c r="G48" s="34"/>
    </row>
    <row r="49" spans="2:7" ht="20" customHeight="1" x14ac:dyDescent="0.35">
      <c r="B49" s="42"/>
      <c r="C49" s="43"/>
      <c r="D49" s="43"/>
      <c r="E49" s="44"/>
      <c r="F49" s="43"/>
      <c r="G49" s="43"/>
    </row>
    <row r="50" spans="2:7" ht="20" customHeight="1" x14ac:dyDescent="0.35">
      <c r="B50" s="33"/>
      <c r="C50" s="34"/>
      <c r="D50" s="34"/>
      <c r="E50" s="35"/>
      <c r="F50" s="34"/>
      <c r="G50" s="34"/>
    </row>
    <row r="51" spans="2:7" ht="20" customHeight="1" x14ac:dyDescent="0.35">
      <c r="B51" s="42"/>
      <c r="C51" s="43"/>
      <c r="D51" s="43"/>
      <c r="E51" s="44"/>
      <c r="F51" s="43"/>
      <c r="G51" s="43"/>
    </row>
    <row r="52" spans="2:7" ht="20" customHeight="1" x14ac:dyDescent="0.35">
      <c r="B52" s="33"/>
      <c r="C52" s="34"/>
      <c r="D52" s="34"/>
      <c r="E52" s="35"/>
      <c r="F52" s="34"/>
      <c r="G52" s="34"/>
    </row>
    <row r="53" spans="2:7" ht="20" customHeight="1" x14ac:dyDescent="0.35">
      <c r="B53" s="42"/>
      <c r="C53" s="43"/>
      <c r="D53" s="43"/>
      <c r="E53" s="44"/>
      <c r="F53" s="43"/>
      <c r="G53" s="43"/>
    </row>
    <row r="54" spans="2:7" ht="20" customHeight="1" x14ac:dyDescent="0.35">
      <c r="B54" s="33"/>
      <c r="C54" s="34"/>
      <c r="D54" s="34"/>
      <c r="E54" s="35"/>
      <c r="F54" s="34"/>
      <c r="G54" s="34"/>
    </row>
    <row r="55" spans="2:7" ht="20" customHeight="1" x14ac:dyDescent="0.35">
      <c r="B55" s="42"/>
      <c r="C55" s="43"/>
      <c r="D55" s="43"/>
      <c r="E55" s="44"/>
      <c r="F55" s="43"/>
      <c r="G55" s="43"/>
    </row>
    <row r="56" spans="2:7" ht="20" customHeight="1" x14ac:dyDescent="0.35">
      <c r="B56" s="33"/>
      <c r="C56" s="34"/>
      <c r="D56" s="34"/>
      <c r="E56" s="35"/>
      <c r="F56" s="34"/>
      <c r="G56" s="34"/>
    </row>
    <row r="57" spans="2:7" ht="20" customHeight="1" x14ac:dyDescent="0.35">
      <c r="B57" s="42"/>
      <c r="C57" s="43"/>
      <c r="D57" s="43"/>
      <c r="E57" s="44"/>
      <c r="F57" s="43"/>
      <c r="G57" s="43"/>
    </row>
    <row r="58" spans="2:7" ht="20" customHeight="1" x14ac:dyDescent="0.35">
      <c r="B58" s="33"/>
      <c r="C58" s="34"/>
      <c r="D58" s="34"/>
      <c r="E58" s="35"/>
      <c r="F58" s="34"/>
      <c r="G58" s="34"/>
    </row>
    <row r="59" spans="2:7" ht="20" customHeight="1" x14ac:dyDescent="0.35">
      <c r="B59" s="42"/>
      <c r="C59" s="43"/>
      <c r="D59" s="43"/>
      <c r="E59" s="44"/>
      <c r="F59" s="43"/>
      <c r="G59" s="43"/>
    </row>
    <row r="60" spans="2:7" ht="20" customHeight="1" x14ac:dyDescent="0.35">
      <c r="B60" s="33"/>
      <c r="C60" s="34"/>
      <c r="D60" s="34"/>
      <c r="E60" s="35"/>
      <c r="F60" s="34"/>
      <c r="G60" s="34"/>
    </row>
    <row r="61" spans="2:7" ht="20" customHeight="1" x14ac:dyDescent="0.35">
      <c r="B61" s="42"/>
      <c r="C61" s="43"/>
      <c r="D61" s="43"/>
      <c r="E61" s="44"/>
      <c r="F61" s="43"/>
      <c r="G61" s="43"/>
    </row>
    <row r="62" spans="2:7" ht="20" customHeight="1" x14ac:dyDescent="0.35">
      <c r="B62" s="33"/>
      <c r="C62" s="34"/>
      <c r="D62" s="34"/>
      <c r="E62" s="35"/>
      <c r="F62" s="34"/>
      <c r="G62" s="34"/>
    </row>
    <row r="63" spans="2:7" ht="20" customHeight="1" x14ac:dyDescent="0.35">
      <c r="B63" s="42"/>
      <c r="C63" s="43"/>
      <c r="D63" s="43"/>
      <c r="E63" s="44"/>
      <c r="F63" s="43"/>
      <c r="G63" s="43"/>
    </row>
    <row r="64" spans="2:7" ht="20" customHeight="1" x14ac:dyDescent="0.35">
      <c r="B64" s="33"/>
      <c r="C64" s="34"/>
      <c r="D64" s="34"/>
      <c r="E64" s="35"/>
      <c r="F64" s="34"/>
      <c r="G64" s="34"/>
    </row>
    <row r="65" spans="2:7" ht="20" customHeight="1" x14ac:dyDescent="0.35">
      <c r="B65" s="42"/>
      <c r="C65" s="43"/>
      <c r="D65" s="43"/>
      <c r="E65" s="44"/>
      <c r="F65" s="43"/>
      <c r="G65" s="43"/>
    </row>
    <row r="66" spans="2:7" ht="20" customHeight="1" x14ac:dyDescent="0.35">
      <c r="B66" s="33"/>
      <c r="C66" s="34"/>
      <c r="D66" s="34"/>
      <c r="E66" s="35"/>
      <c r="F66" s="34"/>
      <c r="G66" s="34"/>
    </row>
    <row r="67" spans="2:7" ht="20" customHeight="1" x14ac:dyDescent="0.35">
      <c r="B67" s="42"/>
      <c r="C67" s="43"/>
      <c r="D67" s="43"/>
      <c r="E67" s="44"/>
      <c r="F67" s="43"/>
      <c r="G67" s="43"/>
    </row>
    <row r="68" spans="2:7" ht="20" customHeight="1" x14ac:dyDescent="0.35">
      <c r="B68" s="33"/>
      <c r="C68" s="34"/>
      <c r="D68" s="34"/>
      <c r="E68" s="35"/>
      <c r="F68" s="34"/>
      <c r="G68" s="34"/>
    </row>
    <row r="69" spans="2:7" ht="20" customHeight="1" x14ac:dyDescent="0.35">
      <c r="B69" s="42"/>
      <c r="C69" s="43"/>
      <c r="D69" s="43"/>
      <c r="E69" s="44"/>
      <c r="F69" s="43"/>
      <c r="G69" s="43"/>
    </row>
    <row r="70" spans="2:7" ht="20" customHeight="1" x14ac:dyDescent="0.35">
      <c r="B70" s="33"/>
      <c r="C70" s="34"/>
      <c r="D70" s="34"/>
      <c r="E70" s="35"/>
      <c r="F70" s="34"/>
      <c r="G70" s="34"/>
    </row>
    <row r="71" spans="2:7" ht="20" customHeight="1" x14ac:dyDescent="0.35">
      <c r="B71" s="42"/>
      <c r="C71" s="43"/>
      <c r="D71" s="43"/>
      <c r="E71" s="44"/>
      <c r="F71" s="43"/>
      <c r="G71" s="43"/>
    </row>
    <row r="72" spans="2:7" ht="20" customHeight="1" x14ac:dyDescent="0.35">
      <c r="B72" s="33"/>
      <c r="C72" s="34"/>
      <c r="D72" s="34"/>
      <c r="E72" s="35"/>
      <c r="F72" s="34"/>
      <c r="G72" s="34"/>
    </row>
    <row r="73" spans="2:7" ht="20" customHeight="1" x14ac:dyDescent="0.35">
      <c r="B73" s="42"/>
      <c r="C73" s="43"/>
      <c r="D73" s="43"/>
      <c r="E73" s="44"/>
      <c r="F73" s="43"/>
      <c r="G73" s="43"/>
    </row>
    <row r="74" spans="2:7" ht="20" customHeight="1" x14ac:dyDescent="0.35">
      <c r="B74" s="33"/>
      <c r="C74" s="34"/>
      <c r="D74" s="34"/>
      <c r="E74" s="35"/>
      <c r="F74" s="34"/>
      <c r="G74" s="34"/>
    </row>
    <row r="75" spans="2:7" ht="20" customHeight="1" x14ac:dyDescent="0.35">
      <c r="B75" s="42"/>
      <c r="C75" s="43"/>
      <c r="D75" s="43"/>
      <c r="E75" s="44"/>
      <c r="F75" s="43"/>
      <c r="G75" s="43"/>
    </row>
    <row r="76" spans="2:7" ht="20" customHeight="1" x14ac:dyDescent="0.35">
      <c r="B76" s="33"/>
      <c r="C76" s="34"/>
      <c r="D76" s="34"/>
      <c r="E76" s="35"/>
      <c r="F76" s="34"/>
      <c r="G76" s="34"/>
    </row>
    <row r="77" spans="2:7" ht="20" customHeight="1" x14ac:dyDescent="0.35">
      <c r="B77" s="42"/>
      <c r="C77" s="43"/>
      <c r="D77" s="43"/>
      <c r="E77" s="44"/>
      <c r="F77" s="43"/>
      <c r="G77" s="43"/>
    </row>
    <row r="78" spans="2:7" ht="20" customHeight="1" x14ac:dyDescent="0.35">
      <c r="B78" s="33"/>
      <c r="C78" s="34"/>
      <c r="D78" s="34"/>
      <c r="E78" s="35"/>
      <c r="F78" s="34"/>
      <c r="G78" s="34"/>
    </row>
    <row r="79" spans="2:7" ht="20" customHeight="1" x14ac:dyDescent="0.35">
      <c r="B79" s="42"/>
      <c r="C79" s="43"/>
      <c r="D79" s="43"/>
      <c r="E79" s="44"/>
      <c r="F79" s="43"/>
      <c r="G79" s="43"/>
    </row>
    <row r="80" spans="2:7" ht="20" customHeight="1" x14ac:dyDescent="0.35">
      <c r="B80" s="33"/>
      <c r="C80" s="34"/>
      <c r="D80" s="34"/>
      <c r="E80" s="35"/>
      <c r="F80" s="34"/>
      <c r="G80" s="34"/>
    </row>
    <row r="81" spans="2:7" ht="20" customHeight="1" x14ac:dyDescent="0.35">
      <c r="B81" s="42"/>
      <c r="C81" s="43"/>
      <c r="D81" s="43"/>
      <c r="E81" s="44"/>
      <c r="F81" s="43"/>
      <c r="G81" s="43"/>
    </row>
    <row r="82" spans="2:7" ht="20" customHeight="1" x14ac:dyDescent="0.35">
      <c r="B82" s="33"/>
      <c r="C82" s="34"/>
      <c r="D82" s="34"/>
      <c r="E82" s="35"/>
      <c r="F82" s="34"/>
      <c r="G82" s="34"/>
    </row>
    <row r="83" spans="2:7" ht="20" customHeight="1" x14ac:dyDescent="0.35">
      <c r="B83" s="42"/>
      <c r="C83" s="43"/>
      <c r="D83" s="43"/>
      <c r="E83" s="44"/>
      <c r="F83" s="43"/>
      <c r="G83" s="43"/>
    </row>
    <row r="84" spans="2:7" ht="20" customHeight="1" x14ac:dyDescent="0.35">
      <c r="B84" s="33"/>
      <c r="C84" s="34"/>
      <c r="D84" s="34"/>
      <c r="E84" s="35"/>
      <c r="F84" s="34"/>
      <c r="G84" s="34"/>
    </row>
    <row r="85" spans="2:7" ht="20" customHeight="1" x14ac:dyDescent="0.35">
      <c r="B85" s="42"/>
      <c r="C85" s="43"/>
      <c r="D85" s="43"/>
      <c r="E85" s="44"/>
      <c r="F85" s="43"/>
      <c r="G85" s="43"/>
    </row>
    <row r="86" spans="2:7" ht="20" customHeight="1" x14ac:dyDescent="0.35">
      <c r="B86" s="33"/>
      <c r="C86" s="34"/>
      <c r="D86" s="34"/>
      <c r="E86" s="35"/>
      <c r="F86" s="34"/>
      <c r="G86" s="34"/>
    </row>
    <row r="87" spans="2:7" ht="20" customHeight="1" x14ac:dyDescent="0.35">
      <c r="B87" s="42"/>
      <c r="C87" s="43"/>
      <c r="D87" s="43"/>
      <c r="E87" s="44"/>
      <c r="F87" s="43"/>
      <c r="G87" s="43"/>
    </row>
    <row r="88" spans="2:7" ht="20" customHeight="1" x14ac:dyDescent="0.35">
      <c r="B88" s="33"/>
      <c r="C88" s="34"/>
      <c r="D88" s="34"/>
      <c r="E88" s="35"/>
      <c r="F88" s="34"/>
      <c r="G88" s="34"/>
    </row>
    <row r="89" spans="2:7" ht="20" customHeight="1" x14ac:dyDescent="0.35">
      <c r="B89" s="42"/>
      <c r="C89" s="43"/>
      <c r="D89" s="43"/>
      <c r="E89" s="44"/>
      <c r="F89" s="43"/>
      <c r="G89" s="43"/>
    </row>
    <row r="90" spans="2:7" ht="20" customHeight="1" x14ac:dyDescent="0.35">
      <c r="B90" s="33"/>
      <c r="C90" s="34"/>
      <c r="D90" s="34"/>
      <c r="E90" s="35"/>
      <c r="F90" s="34"/>
      <c r="G90" s="34"/>
    </row>
    <row r="91" spans="2:7" ht="20" customHeight="1" x14ac:dyDescent="0.35">
      <c r="B91" s="42"/>
      <c r="C91" s="43"/>
      <c r="D91" s="43"/>
      <c r="E91" s="44"/>
      <c r="F91" s="43"/>
      <c r="G91" s="43"/>
    </row>
    <row r="92" spans="2:7" ht="20" customHeight="1" x14ac:dyDescent="0.35">
      <c r="B92" s="33"/>
      <c r="C92" s="34"/>
      <c r="D92" s="34"/>
      <c r="E92" s="35"/>
      <c r="F92" s="34"/>
      <c r="G92" s="34"/>
    </row>
    <row r="93" spans="2:7" ht="20" customHeight="1" x14ac:dyDescent="0.35">
      <c r="B93" s="42"/>
      <c r="C93" s="43"/>
      <c r="D93" s="43"/>
      <c r="E93" s="44"/>
      <c r="F93" s="43"/>
      <c r="G93" s="43"/>
    </row>
    <row r="94" spans="2:7" ht="20" customHeight="1" x14ac:dyDescent="0.35">
      <c r="B94" s="33"/>
      <c r="C94" s="34"/>
      <c r="D94" s="34"/>
      <c r="E94" s="35"/>
      <c r="F94" s="34"/>
      <c r="G94" s="34"/>
    </row>
    <row r="95" spans="2:7" ht="20" customHeight="1" x14ac:dyDescent="0.35">
      <c r="B95" s="42"/>
      <c r="C95" s="43"/>
      <c r="D95" s="43"/>
      <c r="E95" s="44"/>
      <c r="F95" s="43"/>
      <c r="G95" s="43"/>
    </row>
    <row r="96" spans="2:7" ht="20" customHeight="1" x14ac:dyDescent="0.35">
      <c r="B96" s="33"/>
      <c r="C96" s="34"/>
      <c r="D96" s="34"/>
      <c r="E96" s="35"/>
      <c r="F96" s="34"/>
      <c r="G96" s="34"/>
    </row>
    <row r="97" spans="2:7" ht="20" customHeight="1" x14ac:dyDescent="0.35">
      <c r="B97" s="42"/>
      <c r="C97" s="43"/>
      <c r="D97" s="43"/>
      <c r="E97" s="44"/>
      <c r="F97" s="43"/>
      <c r="G97" s="43"/>
    </row>
    <row r="98" spans="2:7" ht="20" customHeight="1" x14ac:dyDescent="0.35">
      <c r="B98" s="33"/>
      <c r="C98" s="34"/>
      <c r="D98" s="34"/>
      <c r="E98" s="35"/>
      <c r="F98" s="34"/>
      <c r="G98" s="34"/>
    </row>
    <row r="99" spans="2:7" ht="20" customHeight="1" x14ac:dyDescent="0.35">
      <c r="B99" s="42"/>
      <c r="C99" s="43"/>
      <c r="D99" s="43"/>
      <c r="E99" s="44"/>
      <c r="F99" s="43"/>
      <c r="G99" s="43"/>
    </row>
    <row r="100" spans="2:7" ht="20" customHeight="1" x14ac:dyDescent="0.35">
      <c r="B100" s="33"/>
      <c r="C100" s="34"/>
      <c r="D100" s="34"/>
      <c r="E100" s="35"/>
      <c r="F100" s="34"/>
      <c r="G100" s="34"/>
    </row>
    <row r="101" spans="2:7" ht="20" customHeight="1" x14ac:dyDescent="0.35">
      <c r="B101" s="42"/>
      <c r="C101" s="43"/>
      <c r="D101" s="43"/>
      <c r="E101" s="44"/>
      <c r="F101" s="43"/>
      <c r="G101" s="43"/>
    </row>
    <row r="102" spans="2:7" ht="20" customHeight="1" x14ac:dyDescent="0.35">
      <c r="B102" s="33"/>
      <c r="C102" s="34"/>
      <c r="D102" s="34"/>
      <c r="E102" s="35"/>
      <c r="F102" s="34"/>
      <c r="G102" s="34"/>
    </row>
    <row r="103" spans="2:7" ht="20" customHeight="1" x14ac:dyDescent="0.35">
      <c r="B103" s="42"/>
      <c r="C103" s="43"/>
      <c r="D103" s="43"/>
      <c r="E103" s="44"/>
      <c r="F103" s="43"/>
      <c r="G103" s="43"/>
    </row>
    <row r="104" spans="2:7" ht="20" customHeight="1" x14ac:dyDescent="0.35">
      <c r="B104" s="33"/>
      <c r="C104" s="34"/>
      <c r="D104" s="34"/>
      <c r="E104" s="35"/>
      <c r="F104" s="34"/>
      <c r="G104" s="34"/>
    </row>
    <row r="105" spans="2:7" ht="20" customHeight="1" x14ac:dyDescent="0.35">
      <c r="B105" s="42"/>
      <c r="C105" s="43"/>
      <c r="D105" s="43"/>
      <c r="E105" s="44"/>
      <c r="F105" s="43"/>
      <c r="G105" s="43"/>
    </row>
    <row r="106" spans="2:7" ht="20" customHeight="1" x14ac:dyDescent="0.35">
      <c r="B106" s="33"/>
      <c r="C106" s="34"/>
      <c r="D106" s="34"/>
      <c r="E106" s="35"/>
      <c r="F106" s="34"/>
      <c r="G106" s="34"/>
    </row>
    <row r="107" spans="2:7" ht="20" customHeight="1" x14ac:dyDescent="0.35">
      <c r="B107" s="42"/>
      <c r="C107" s="43"/>
      <c r="D107" s="43"/>
      <c r="E107" s="44"/>
      <c r="F107" s="43"/>
      <c r="G107" s="43"/>
    </row>
    <row r="108" spans="2:7" ht="20" customHeight="1" x14ac:dyDescent="0.35">
      <c r="B108" s="33"/>
      <c r="C108" s="34"/>
      <c r="D108" s="34"/>
      <c r="E108" s="35"/>
      <c r="F108" s="34"/>
      <c r="G108" s="34"/>
    </row>
    <row r="109" spans="2:7" ht="20" customHeight="1" x14ac:dyDescent="0.35">
      <c r="B109" s="42"/>
      <c r="C109" s="43"/>
      <c r="D109" s="43"/>
      <c r="E109" s="44"/>
      <c r="F109" s="43"/>
      <c r="G109" s="43"/>
    </row>
    <row r="110" spans="2:7" ht="20" customHeight="1" x14ac:dyDescent="0.35">
      <c r="B110" s="33"/>
      <c r="C110" s="34"/>
      <c r="D110" s="34"/>
      <c r="E110" s="35"/>
      <c r="F110" s="34"/>
      <c r="G110" s="34"/>
    </row>
    <row r="111" spans="2:7" ht="20" customHeight="1" x14ac:dyDescent="0.35">
      <c r="B111" s="42"/>
      <c r="C111" s="43"/>
      <c r="D111" s="43"/>
      <c r="E111" s="44"/>
      <c r="F111" s="43"/>
      <c r="G111" s="43"/>
    </row>
    <row r="112" spans="2:7" ht="20" customHeight="1" x14ac:dyDescent="0.35">
      <c r="B112" s="33"/>
      <c r="C112" s="34"/>
      <c r="D112" s="34"/>
      <c r="E112" s="35"/>
      <c r="F112" s="34"/>
      <c r="G112" s="34"/>
    </row>
    <row r="113" spans="2:7" ht="20" customHeight="1" x14ac:dyDescent="0.35">
      <c r="B113" s="42"/>
      <c r="C113" s="43"/>
      <c r="D113" s="43"/>
      <c r="E113" s="44"/>
      <c r="F113" s="43"/>
      <c r="G113" s="43"/>
    </row>
    <row r="114" spans="2:7" ht="20" customHeight="1" x14ac:dyDescent="0.35">
      <c r="B114" s="33"/>
      <c r="C114" s="34"/>
      <c r="D114" s="34"/>
      <c r="E114" s="35"/>
      <c r="F114" s="34"/>
      <c r="G114" s="34"/>
    </row>
    <row r="115" spans="2:7" ht="20" customHeight="1" x14ac:dyDescent="0.35">
      <c r="B115" s="42"/>
      <c r="C115" s="43"/>
      <c r="D115" s="43"/>
      <c r="E115" s="44"/>
      <c r="F115" s="43"/>
      <c r="G115" s="43"/>
    </row>
    <row r="116" spans="2:7" ht="20" customHeight="1" x14ac:dyDescent="0.35">
      <c r="B116" s="33"/>
      <c r="C116" s="34"/>
      <c r="D116" s="34"/>
      <c r="E116" s="35"/>
      <c r="F116" s="34"/>
      <c r="G116" s="34"/>
    </row>
    <row r="117" spans="2:7" ht="20" customHeight="1" x14ac:dyDescent="0.35">
      <c r="B117" s="42"/>
      <c r="C117" s="43"/>
      <c r="D117" s="43"/>
      <c r="E117" s="44"/>
      <c r="F117" s="43"/>
      <c r="G117" s="43"/>
    </row>
    <row r="118" spans="2:7" ht="20" customHeight="1" x14ac:dyDescent="0.35">
      <c r="B118" s="33"/>
      <c r="C118" s="34"/>
      <c r="D118" s="34"/>
      <c r="E118" s="35"/>
      <c r="F118" s="34"/>
      <c r="G118" s="34"/>
    </row>
    <row r="119" spans="2:7" ht="20" customHeight="1" x14ac:dyDescent="0.35">
      <c r="B119" s="42"/>
      <c r="C119" s="43"/>
      <c r="D119" s="43"/>
      <c r="E119" s="44"/>
      <c r="F119" s="43"/>
      <c r="G119" s="43"/>
    </row>
    <row r="120" spans="2:7" ht="20" customHeight="1" x14ac:dyDescent="0.35">
      <c r="B120" s="33"/>
      <c r="C120" s="34"/>
      <c r="D120" s="34"/>
      <c r="E120" s="35"/>
      <c r="F120" s="34"/>
      <c r="G120" s="34"/>
    </row>
    <row r="121" spans="2:7" ht="20" customHeight="1" x14ac:dyDescent="0.35">
      <c r="B121" s="42"/>
      <c r="C121" s="43"/>
      <c r="D121" s="43"/>
      <c r="E121" s="44"/>
      <c r="F121" s="43"/>
      <c r="G121" s="43"/>
    </row>
    <row r="122" spans="2:7" ht="20" customHeight="1" x14ac:dyDescent="0.35">
      <c r="B122" s="33"/>
      <c r="C122" s="34"/>
      <c r="D122" s="34"/>
      <c r="E122" s="35"/>
      <c r="F122" s="34"/>
      <c r="G122" s="34"/>
    </row>
    <row r="123" spans="2:7" ht="20" customHeight="1" x14ac:dyDescent="0.35">
      <c r="B123" s="42"/>
      <c r="C123" s="43"/>
      <c r="D123" s="43"/>
      <c r="E123" s="44"/>
      <c r="F123" s="43"/>
      <c r="G123" s="43"/>
    </row>
    <row r="124" spans="2:7" ht="20" customHeight="1" x14ac:dyDescent="0.35">
      <c r="B124" s="33"/>
      <c r="C124" s="34"/>
      <c r="D124" s="34"/>
      <c r="E124" s="35"/>
      <c r="F124" s="34"/>
      <c r="G124" s="34"/>
    </row>
    <row r="125" spans="2:7" ht="20" customHeight="1" x14ac:dyDescent="0.35">
      <c r="B125" s="42"/>
      <c r="C125" s="43"/>
      <c r="D125" s="43"/>
      <c r="E125" s="44"/>
      <c r="F125" s="43"/>
      <c r="G125" s="43"/>
    </row>
    <row r="126" spans="2:7" ht="20" customHeight="1" x14ac:dyDescent="0.35">
      <c r="B126" s="33"/>
      <c r="C126" s="34"/>
      <c r="D126" s="34"/>
      <c r="E126" s="35"/>
      <c r="F126" s="34"/>
      <c r="G126" s="34"/>
    </row>
    <row r="127" spans="2:7" ht="20" customHeight="1" x14ac:dyDescent="0.35">
      <c r="B127" s="42"/>
      <c r="C127" s="43"/>
      <c r="D127" s="43"/>
      <c r="E127" s="44"/>
      <c r="F127" s="43"/>
      <c r="G127" s="43"/>
    </row>
    <row r="128" spans="2:7" ht="20" customHeight="1" x14ac:dyDescent="0.35">
      <c r="B128" s="33"/>
      <c r="C128" s="34"/>
      <c r="D128" s="34"/>
      <c r="E128" s="35"/>
      <c r="F128" s="34"/>
      <c r="G128" s="34"/>
    </row>
    <row r="129" spans="2:7" ht="20" customHeight="1" x14ac:dyDescent="0.35">
      <c r="B129" s="42"/>
      <c r="C129" s="43"/>
      <c r="D129" s="43"/>
      <c r="E129" s="44"/>
      <c r="F129" s="43"/>
      <c r="G129" s="43"/>
    </row>
    <row r="130" spans="2:7" ht="20" customHeight="1" x14ac:dyDescent="0.35">
      <c r="B130" s="33"/>
      <c r="C130" s="34"/>
      <c r="D130" s="34"/>
      <c r="E130" s="35"/>
      <c r="F130" s="34"/>
      <c r="G130" s="34"/>
    </row>
    <row r="131" spans="2:7" ht="20" customHeight="1" x14ac:dyDescent="0.35">
      <c r="B131" s="42"/>
      <c r="C131" s="43"/>
      <c r="D131" s="43"/>
      <c r="E131" s="44"/>
      <c r="F131" s="43"/>
      <c r="G131" s="43"/>
    </row>
    <row r="132" spans="2:7" ht="20" customHeight="1" x14ac:dyDescent="0.35">
      <c r="B132" s="33"/>
      <c r="C132" s="34"/>
      <c r="D132" s="34"/>
      <c r="E132" s="35"/>
      <c r="F132" s="34"/>
      <c r="G132" s="34"/>
    </row>
    <row r="133" spans="2:7" ht="20" customHeight="1" x14ac:dyDescent="0.35">
      <c r="B133" s="42"/>
      <c r="C133" s="43"/>
      <c r="D133" s="43"/>
      <c r="E133" s="44"/>
      <c r="F133" s="43"/>
      <c r="G133" s="43"/>
    </row>
    <row r="134" spans="2:7" ht="20" customHeight="1" x14ac:dyDescent="0.35">
      <c r="B134" s="33"/>
      <c r="C134" s="34"/>
      <c r="D134" s="34"/>
      <c r="E134" s="35"/>
      <c r="F134" s="34"/>
      <c r="G134" s="34"/>
    </row>
    <row r="135" spans="2:7" ht="20" customHeight="1" x14ac:dyDescent="0.35">
      <c r="B135" s="42"/>
      <c r="C135" s="43"/>
      <c r="D135" s="43"/>
      <c r="E135" s="44"/>
      <c r="F135" s="43"/>
      <c r="G135" s="43"/>
    </row>
    <row r="136" spans="2:7" ht="20" customHeight="1" x14ac:dyDescent="0.35">
      <c r="B136" s="33"/>
      <c r="C136" s="34"/>
      <c r="D136" s="34"/>
      <c r="E136" s="35"/>
      <c r="F136" s="34"/>
      <c r="G136" s="34"/>
    </row>
    <row r="137" spans="2:7" ht="20" customHeight="1" x14ac:dyDescent="0.35">
      <c r="B137" s="42"/>
      <c r="C137" s="43"/>
      <c r="D137" s="43"/>
      <c r="E137" s="44"/>
      <c r="F137" s="43"/>
      <c r="G137" s="43"/>
    </row>
    <row r="138" spans="2:7" ht="20" customHeight="1" x14ac:dyDescent="0.35">
      <c r="B138" s="33"/>
      <c r="C138" s="34"/>
      <c r="D138" s="34"/>
      <c r="E138" s="35"/>
      <c r="F138" s="34"/>
      <c r="G138" s="34"/>
    </row>
    <row r="139" spans="2:7" ht="20" customHeight="1" x14ac:dyDescent="0.35">
      <c r="B139" s="42"/>
      <c r="C139" s="43"/>
      <c r="D139" s="43"/>
      <c r="E139" s="44"/>
      <c r="F139" s="43"/>
      <c r="G139" s="43"/>
    </row>
    <row r="140" spans="2:7" ht="20" customHeight="1" x14ac:dyDescent="0.35">
      <c r="B140" s="33"/>
      <c r="C140" s="34"/>
      <c r="D140" s="34"/>
      <c r="E140" s="35"/>
      <c r="F140" s="34"/>
      <c r="G140" s="34"/>
    </row>
    <row r="141" spans="2:7" ht="20" customHeight="1" x14ac:dyDescent="0.35">
      <c r="B141" s="42"/>
      <c r="C141" s="43"/>
      <c r="D141" s="43"/>
      <c r="E141" s="44"/>
      <c r="F141" s="43"/>
      <c r="G141" s="43"/>
    </row>
    <row r="142" spans="2:7" ht="20" customHeight="1" x14ac:dyDescent="0.35">
      <c r="B142" s="33"/>
      <c r="C142" s="34"/>
      <c r="D142" s="34"/>
      <c r="E142" s="35"/>
      <c r="F142" s="34"/>
      <c r="G142" s="34"/>
    </row>
    <row r="143" spans="2:7" ht="20" customHeight="1" x14ac:dyDescent="0.35">
      <c r="B143" s="42"/>
      <c r="C143" s="43"/>
      <c r="D143" s="43"/>
      <c r="E143" s="44"/>
      <c r="F143" s="43"/>
      <c r="G143" s="43"/>
    </row>
    <row r="144" spans="2:7" ht="20" customHeight="1" x14ac:dyDescent="0.35">
      <c r="B144" s="33"/>
      <c r="C144" s="34"/>
      <c r="D144" s="34"/>
      <c r="E144" s="35"/>
      <c r="F144" s="34"/>
      <c r="G144" s="34"/>
    </row>
    <row r="145" spans="2:7" ht="20" customHeight="1" x14ac:dyDescent="0.35">
      <c r="B145" s="42"/>
      <c r="C145" s="43"/>
      <c r="D145" s="43"/>
      <c r="E145" s="44"/>
      <c r="F145" s="43"/>
      <c r="G145" s="43"/>
    </row>
    <row r="146" spans="2:7" ht="20" customHeight="1" x14ac:dyDescent="0.35">
      <c r="B146" s="33"/>
      <c r="C146" s="34"/>
      <c r="D146" s="34"/>
      <c r="E146" s="35"/>
      <c r="F146" s="34"/>
      <c r="G146" s="34"/>
    </row>
    <row r="147" spans="2:7" ht="20" customHeight="1" x14ac:dyDescent="0.35">
      <c r="B147" s="42"/>
      <c r="C147" s="43"/>
      <c r="D147" s="43"/>
      <c r="E147" s="44"/>
      <c r="F147" s="43"/>
      <c r="G147" s="43"/>
    </row>
    <row r="148" spans="2:7" ht="20" customHeight="1" x14ac:dyDescent="0.35">
      <c r="B148" s="33"/>
      <c r="C148" s="34"/>
      <c r="D148" s="34"/>
      <c r="E148" s="35"/>
      <c r="F148" s="34"/>
      <c r="G148" s="34"/>
    </row>
    <row r="149" spans="2:7" ht="20" customHeight="1" x14ac:dyDescent="0.35">
      <c r="B149" s="42"/>
      <c r="C149" s="43"/>
      <c r="D149" s="43"/>
      <c r="E149" s="44"/>
      <c r="F149" s="43"/>
      <c r="G149" s="43"/>
    </row>
    <row r="150" spans="2:7" ht="20" customHeight="1" x14ac:dyDescent="0.35">
      <c r="B150" s="33"/>
      <c r="C150" s="34"/>
      <c r="D150" s="34"/>
      <c r="E150" s="35"/>
      <c r="F150" s="34"/>
      <c r="G150" s="34"/>
    </row>
    <row r="151" spans="2:7" ht="20" customHeight="1" x14ac:dyDescent="0.35">
      <c r="B151" s="42"/>
      <c r="C151" s="43"/>
      <c r="D151" s="43"/>
      <c r="E151" s="44"/>
      <c r="F151" s="43"/>
      <c r="G151" s="43"/>
    </row>
    <row r="152" spans="2:7" ht="20" customHeight="1" x14ac:dyDescent="0.35">
      <c r="B152" s="33"/>
      <c r="C152" s="34"/>
      <c r="D152" s="34"/>
      <c r="E152" s="35"/>
      <c r="F152" s="34"/>
      <c r="G152" s="34"/>
    </row>
    <row r="153" spans="2:7" ht="20" customHeight="1" x14ac:dyDescent="0.35">
      <c r="B153" s="42"/>
      <c r="C153" s="43"/>
      <c r="D153" s="43"/>
      <c r="E153" s="44"/>
      <c r="F153" s="43"/>
      <c r="G153" s="43"/>
    </row>
    <row r="154" spans="2:7" ht="20" customHeight="1" x14ac:dyDescent="0.35">
      <c r="B154" s="33"/>
      <c r="C154" s="34"/>
      <c r="D154" s="34"/>
      <c r="E154" s="35"/>
      <c r="F154" s="34"/>
      <c r="G154" s="34"/>
    </row>
    <row r="155" spans="2:7" ht="20" customHeight="1" x14ac:dyDescent="0.35">
      <c r="B155" s="42"/>
      <c r="C155" s="43"/>
      <c r="D155" s="43"/>
      <c r="E155" s="44"/>
      <c r="F155" s="43"/>
      <c r="G155" s="43"/>
    </row>
    <row r="156" spans="2:7" ht="20" customHeight="1" x14ac:dyDescent="0.35">
      <c r="B156" s="33"/>
      <c r="C156" s="34"/>
      <c r="D156" s="34"/>
      <c r="E156" s="35"/>
      <c r="F156" s="34"/>
      <c r="G156" s="34"/>
    </row>
    <row r="157" spans="2:7" ht="20" customHeight="1" x14ac:dyDescent="0.35">
      <c r="B157" s="42"/>
      <c r="C157" s="43"/>
      <c r="D157" s="43"/>
      <c r="E157" s="44"/>
      <c r="F157" s="43"/>
      <c r="G157" s="43"/>
    </row>
    <row r="158" spans="2:7" ht="20" customHeight="1" x14ac:dyDescent="0.35">
      <c r="B158" s="33"/>
      <c r="C158" s="34"/>
      <c r="D158" s="34"/>
      <c r="E158" s="35"/>
      <c r="F158" s="34"/>
      <c r="G158" s="34"/>
    </row>
    <row r="159" spans="2:7" ht="20" customHeight="1" x14ac:dyDescent="0.35">
      <c r="B159" s="42"/>
      <c r="C159" s="43"/>
      <c r="D159" s="43"/>
      <c r="E159" s="44"/>
      <c r="F159" s="43"/>
      <c r="G159" s="43"/>
    </row>
    <row r="160" spans="2:7" ht="20" customHeight="1" x14ac:dyDescent="0.35">
      <c r="B160" s="33"/>
      <c r="C160" s="34"/>
      <c r="D160" s="34"/>
      <c r="E160" s="35"/>
      <c r="F160" s="34"/>
      <c r="G160" s="34"/>
    </row>
    <row r="161" spans="2:7" ht="20" customHeight="1" x14ac:dyDescent="0.35">
      <c r="B161" s="42"/>
      <c r="C161" s="43"/>
      <c r="D161" s="43"/>
      <c r="E161" s="44"/>
      <c r="F161" s="43"/>
      <c r="G161" s="43"/>
    </row>
    <row r="162" spans="2:7" ht="20" customHeight="1" x14ac:dyDescent="0.35">
      <c r="B162" s="33"/>
      <c r="C162" s="34"/>
      <c r="D162" s="34"/>
      <c r="E162" s="35"/>
      <c r="F162" s="34"/>
      <c r="G162" s="34"/>
    </row>
    <row r="163" spans="2:7" ht="20" customHeight="1" x14ac:dyDescent="0.35">
      <c r="B163" s="42"/>
      <c r="C163" s="43"/>
      <c r="D163" s="43"/>
      <c r="E163" s="44"/>
      <c r="F163" s="43"/>
      <c r="G163" s="43"/>
    </row>
    <row r="164" spans="2:7" ht="20" customHeight="1" x14ac:dyDescent="0.35">
      <c r="B164" s="33"/>
      <c r="C164" s="34"/>
      <c r="D164" s="34"/>
      <c r="E164" s="35"/>
      <c r="F164" s="34"/>
      <c r="G164" s="34"/>
    </row>
    <row r="165" spans="2:7" ht="20" customHeight="1" x14ac:dyDescent="0.35">
      <c r="B165" s="42"/>
      <c r="C165" s="43"/>
      <c r="D165" s="43"/>
      <c r="E165" s="44"/>
      <c r="F165" s="43"/>
      <c r="G165" s="43"/>
    </row>
    <row r="166" spans="2:7" ht="20" customHeight="1" x14ac:dyDescent="0.35">
      <c r="B166" s="33"/>
      <c r="C166" s="34"/>
      <c r="D166" s="34"/>
      <c r="E166" s="35"/>
      <c r="F166" s="34"/>
      <c r="G166" s="34"/>
    </row>
    <row r="167" spans="2:7" ht="20" customHeight="1" x14ac:dyDescent="0.35">
      <c r="B167" s="42"/>
      <c r="C167" s="43"/>
      <c r="D167" s="43"/>
      <c r="E167" s="44"/>
      <c r="F167" s="43"/>
      <c r="G167" s="43"/>
    </row>
    <row r="168" spans="2:7" ht="20" customHeight="1" x14ac:dyDescent="0.35">
      <c r="B168" s="33"/>
      <c r="C168" s="34"/>
      <c r="D168" s="34"/>
      <c r="E168" s="35"/>
      <c r="F168" s="34"/>
      <c r="G168" s="34"/>
    </row>
    <row r="169" spans="2:7" ht="20" customHeight="1" x14ac:dyDescent="0.35">
      <c r="B169" s="42"/>
      <c r="C169" s="43"/>
      <c r="D169" s="43"/>
      <c r="E169" s="44"/>
      <c r="F169" s="43"/>
      <c r="G169" s="43"/>
    </row>
    <row r="170" spans="2:7" ht="20" customHeight="1" x14ac:dyDescent="0.35">
      <c r="B170" s="33"/>
      <c r="C170" s="34"/>
      <c r="D170" s="34"/>
      <c r="E170" s="35"/>
      <c r="F170" s="34"/>
      <c r="G170" s="34"/>
    </row>
    <row r="171" spans="2:7" ht="20" customHeight="1" x14ac:dyDescent="0.35">
      <c r="B171" s="42"/>
      <c r="C171" s="43"/>
      <c r="D171" s="43"/>
      <c r="E171" s="44"/>
      <c r="F171" s="43"/>
      <c r="G171" s="43"/>
    </row>
    <row r="172" spans="2:7" ht="20" customHeight="1" x14ac:dyDescent="0.35">
      <c r="B172" s="33"/>
      <c r="C172" s="34"/>
      <c r="D172" s="34"/>
      <c r="E172" s="35"/>
      <c r="F172" s="34"/>
      <c r="G172" s="34"/>
    </row>
    <row r="173" spans="2:7" ht="20" customHeight="1" x14ac:dyDescent="0.35">
      <c r="B173" s="42"/>
      <c r="C173" s="43"/>
      <c r="D173" s="43"/>
      <c r="E173" s="44"/>
      <c r="F173" s="43"/>
      <c r="G173" s="43"/>
    </row>
    <row r="174" spans="2:7" ht="20" customHeight="1" x14ac:dyDescent="0.35">
      <c r="B174" s="33"/>
      <c r="C174" s="34"/>
      <c r="D174" s="34"/>
      <c r="E174" s="35"/>
      <c r="F174" s="34"/>
      <c r="G174" s="34"/>
    </row>
    <row r="175" spans="2:7" ht="20" customHeight="1" x14ac:dyDescent="0.35">
      <c r="B175" s="42"/>
      <c r="C175" s="43"/>
      <c r="D175" s="43"/>
      <c r="E175" s="44"/>
      <c r="F175" s="43"/>
      <c r="G175" s="43"/>
    </row>
    <row r="176" spans="2:7" ht="20" customHeight="1" x14ac:dyDescent="0.35">
      <c r="B176" s="33"/>
      <c r="C176" s="34"/>
      <c r="D176" s="34"/>
      <c r="E176" s="35"/>
      <c r="F176" s="34"/>
      <c r="G176" s="34"/>
    </row>
    <row r="177" spans="2:7" ht="20" customHeight="1" x14ac:dyDescent="0.35">
      <c r="B177" s="42"/>
      <c r="C177" s="43"/>
      <c r="D177" s="43"/>
      <c r="E177" s="44"/>
      <c r="F177" s="43"/>
      <c r="G177" s="43"/>
    </row>
    <row r="178" spans="2:7" ht="20" customHeight="1" x14ac:dyDescent="0.35">
      <c r="B178" s="33"/>
      <c r="C178" s="34"/>
      <c r="D178" s="34"/>
      <c r="E178" s="35"/>
      <c r="F178" s="34"/>
      <c r="G178" s="34"/>
    </row>
    <row r="179" spans="2:7" ht="20" customHeight="1" x14ac:dyDescent="0.35">
      <c r="B179" s="42"/>
      <c r="C179" s="43"/>
      <c r="D179" s="43"/>
      <c r="E179" s="44"/>
      <c r="F179" s="43"/>
      <c r="G179" s="43"/>
    </row>
    <row r="180" spans="2:7" ht="20" customHeight="1" x14ac:dyDescent="0.35">
      <c r="B180" s="33"/>
      <c r="C180" s="34"/>
      <c r="D180" s="34"/>
      <c r="E180" s="35"/>
      <c r="F180" s="34"/>
      <c r="G180" s="34"/>
    </row>
    <row r="181" spans="2:7" ht="20" customHeight="1" x14ac:dyDescent="0.35">
      <c r="B181" s="42"/>
      <c r="C181" s="43"/>
      <c r="D181" s="43"/>
      <c r="E181" s="44"/>
      <c r="F181" s="43"/>
      <c r="G181" s="43"/>
    </row>
    <row r="182" spans="2:7" ht="20" customHeight="1" x14ac:dyDescent="0.35">
      <c r="B182" s="33"/>
      <c r="C182" s="34"/>
      <c r="D182" s="34"/>
      <c r="E182" s="35"/>
      <c r="F182" s="34"/>
      <c r="G182" s="34"/>
    </row>
    <row r="183" spans="2:7" ht="20" customHeight="1" x14ac:dyDescent="0.35">
      <c r="B183" s="42"/>
      <c r="C183" s="43"/>
      <c r="D183" s="43"/>
      <c r="E183" s="44"/>
      <c r="F183" s="43"/>
      <c r="G183" s="43"/>
    </row>
    <row r="184" spans="2:7" ht="20" customHeight="1" x14ac:dyDescent="0.35">
      <c r="B184" s="33"/>
      <c r="C184" s="34"/>
      <c r="D184" s="34"/>
      <c r="E184" s="35"/>
      <c r="F184" s="34"/>
      <c r="G184" s="34"/>
    </row>
    <row r="185" spans="2:7" ht="20" customHeight="1" x14ac:dyDescent="0.35">
      <c r="B185" s="42"/>
      <c r="C185" s="43"/>
      <c r="D185" s="43"/>
      <c r="E185" s="44"/>
      <c r="F185" s="43"/>
      <c r="G185" s="43"/>
    </row>
    <row r="186" spans="2:7" ht="20" customHeight="1" x14ac:dyDescent="0.35">
      <c r="B186" s="33"/>
      <c r="C186" s="34"/>
      <c r="D186" s="34"/>
      <c r="E186" s="35"/>
      <c r="F186" s="34"/>
      <c r="G186" s="34"/>
    </row>
    <row r="187" spans="2:7" ht="20" customHeight="1" x14ac:dyDescent="0.35">
      <c r="B187" s="42"/>
      <c r="C187" s="43"/>
      <c r="D187" s="43"/>
      <c r="E187" s="44"/>
      <c r="F187" s="43"/>
      <c r="G187" s="43"/>
    </row>
    <row r="188" spans="2:7" ht="20" customHeight="1" x14ac:dyDescent="0.35">
      <c r="B188" s="33"/>
      <c r="C188" s="34"/>
      <c r="D188" s="34"/>
      <c r="E188" s="35"/>
      <c r="F188" s="34"/>
      <c r="G188" s="34"/>
    </row>
    <row r="189" spans="2:7" ht="20" customHeight="1" x14ac:dyDescent="0.35">
      <c r="B189" s="42"/>
      <c r="C189" s="43"/>
      <c r="D189" s="43"/>
      <c r="E189" s="44"/>
      <c r="F189" s="43"/>
      <c r="G189" s="43"/>
    </row>
    <row r="190" spans="2:7" ht="20" customHeight="1" x14ac:dyDescent="0.35">
      <c r="B190" s="33"/>
      <c r="C190" s="34"/>
      <c r="D190" s="34"/>
      <c r="E190" s="35"/>
      <c r="F190" s="34"/>
      <c r="G190" s="34"/>
    </row>
    <row r="191" spans="2:7" ht="20" customHeight="1" x14ac:dyDescent="0.35">
      <c r="B191" s="42"/>
      <c r="C191" s="43"/>
      <c r="D191" s="43"/>
      <c r="E191" s="44"/>
      <c r="F191" s="43"/>
      <c r="G191" s="43"/>
    </row>
    <row r="192" spans="2:7" ht="20" customHeight="1" x14ac:dyDescent="0.35">
      <c r="B192" s="33"/>
      <c r="C192" s="34"/>
      <c r="D192" s="34"/>
      <c r="E192" s="35"/>
      <c r="F192" s="34"/>
      <c r="G192" s="34"/>
    </row>
    <row r="193" spans="2:7" ht="20" customHeight="1" x14ac:dyDescent="0.35">
      <c r="B193" s="42"/>
      <c r="C193" s="43"/>
      <c r="D193" s="43"/>
      <c r="E193" s="44"/>
      <c r="F193" s="43"/>
      <c r="G193" s="43"/>
    </row>
    <row r="194" spans="2:7" ht="20" customHeight="1" x14ac:dyDescent="0.35">
      <c r="B194" s="33"/>
      <c r="C194" s="34"/>
      <c r="D194" s="34"/>
      <c r="E194" s="35"/>
      <c r="F194" s="34"/>
      <c r="G194" s="34"/>
    </row>
    <row r="195" spans="2:7" ht="20" customHeight="1" x14ac:dyDescent="0.35">
      <c r="B195" s="42"/>
      <c r="C195" s="43"/>
      <c r="D195" s="43"/>
      <c r="E195" s="44"/>
      <c r="F195" s="43"/>
      <c r="G195" s="43"/>
    </row>
    <row r="196" spans="2:7" ht="20" customHeight="1" x14ac:dyDescent="0.35">
      <c r="B196" s="33"/>
      <c r="C196" s="34"/>
      <c r="D196" s="34"/>
      <c r="E196" s="35"/>
      <c r="F196" s="34"/>
      <c r="G196" s="34"/>
    </row>
    <row r="197" spans="2:7" ht="20" customHeight="1" x14ac:dyDescent="0.35">
      <c r="B197" s="42"/>
      <c r="C197" s="43"/>
      <c r="D197" s="43"/>
      <c r="E197" s="44"/>
      <c r="F197" s="43"/>
      <c r="G197" s="43"/>
    </row>
    <row r="198" spans="2:7" ht="20" customHeight="1" x14ac:dyDescent="0.35">
      <c r="B198" s="33"/>
      <c r="C198" s="34"/>
      <c r="D198" s="34"/>
      <c r="E198" s="35"/>
      <c r="F198" s="34"/>
      <c r="G198" s="34"/>
    </row>
    <row r="199" spans="2:7" ht="20" customHeight="1" x14ac:dyDescent="0.35">
      <c r="B199" s="42"/>
      <c r="C199" s="43"/>
      <c r="D199" s="43"/>
      <c r="E199" s="44"/>
      <c r="F199" s="43"/>
      <c r="G199" s="43"/>
    </row>
    <row r="200" spans="2:7" ht="20" customHeight="1" x14ac:dyDescent="0.35">
      <c r="B200" s="33"/>
      <c r="C200" s="34"/>
      <c r="D200" s="34"/>
      <c r="E200" s="35"/>
      <c r="F200" s="34"/>
      <c r="G200" s="34"/>
    </row>
    <row r="201" spans="2:7" ht="20" customHeight="1" x14ac:dyDescent="0.35">
      <c r="B201" s="42"/>
      <c r="C201" s="43"/>
      <c r="D201" s="43"/>
      <c r="E201" s="44"/>
      <c r="F201" s="43"/>
      <c r="G201" s="43"/>
    </row>
    <row r="202" spans="2:7" ht="20" customHeight="1" x14ac:dyDescent="0.35">
      <c r="B202" s="33"/>
      <c r="C202" s="34"/>
      <c r="D202" s="34"/>
      <c r="E202" s="35"/>
      <c r="F202" s="34"/>
      <c r="G202" s="34"/>
    </row>
    <row r="203" spans="2:7" ht="20" customHeight="1" x14ac:dyDescent="0.35">
      <c r="B203" s="42"/>
      <c r="C203" s="43"/>
      <c r="D203" s="43"/>
      <c r="E203" s="44"/>
      <c r="F203" s="43"/>
      <c r="G203" s="43"/>
    </row>
    <row r="204" spans="2:7" ht="20" customHeight="1" x14ac:dyDescent="0.35">
      <c r="B204" s="33"/>
      <c r="C204" s="34"/>
      <c r="D204" s="34"/>
      <c r="E204" s="35"/>
      <c r="F204" s="34"/>
      <c r="G204" s="34"/>
    </row>
    <row r="205" spans="2:7" ht="20" customHeight="1" x14ac:dyDescent="0.35">
      <c r="B205" s="42"/>
      <c r="C205" s="43"/>
      <c r="D205" s="43"/>
      <c r="E205" s="44"/>
      <c r="F205" s="43"/>
      <c r="G205" s="43"/>
    </row>
    <row r="206" spans="2:7" ht="20" customHeight="1" x14ac:dyDescent="0.35">
      <c r="B206" s="33"/>
      <c r="C206" s="34"/>
      <c r="D206" s="34"/>
      <c r="E206" s="35"/>
      <c r="F206" s="34"/>
      <c r="G206" s="34"/>
    </row>
    <row r="207" spans="2:7" ht="20" customHeight="1" x14ac:dyDescent="0.35">
      <c r="B207" s="42"/>
      <c r="C207" s="43"/>
      <c r="D207" s="43"/>
      <c r="E207" s="44"/>
      <c r="F207" s="43"/>
      <c r="G207" s="43"/>
    </row>
    <row r="208" spans="2:7" ht="20" customHeight="1" x14ac:dyDescent="0.35">
      <c r="B208" s="33"/>
      <c r="C208" s="34"/>
      <c r="D208" s="34"/>
      <c r="E208" s="35"/>
      <c r="F208" s="34"/>
      <c r="G208" s="34"/>
    </row>
    <row r="209" spans="2:7" ht="20" customHeight="1" x14ac:dyDescent="0.35">
      <c r="B209" s="42"/>
      <c r="C209" s="43"/>
      <c r="D209" s="43"/>
      <c r="E209" s="44"/>
      <c r="F209" s="43"/>
      <c r="G209" s="43"/>
    </row>
    <row r="210" spans="2:7" ht="20" customHeight="1" x14ac:dyDescent="0.35">
      <c r="B210" s="33"/>
      <c r="C210" s="34"/>
      <c r="D210" s="34"/>
      <c r="E210" s="35"/>
      <c r="F210" s="34"/>
      <c r="G210" s="34"/>
    </row>
    <row r="211" spans="2:7" ht="20" customHeight="1" x14ac:dyDescent="0.35">
      <c r="B211" s="42"/>
      <c r="C211" s="43"/>
      <c r="D211" s="43"/>
      <c r="E211" s="44"/>
      <c r="F211" s="43"/>
      <c r="G211" s="43"/>
    </row>
  </sheetData>
  <mergeCells count="4">
    <mergeCell ref="B3:G3"/>
    <mergeCell ref="E2:G2"/>
    <mergeCell ref="B2:D2"/>
    <mergeCell ref="B1:G1"/>
  </mergeCells>
  <dataValidations count="2">
    <dataValidation type="list" allowBlank="1" showErrorMessage="1" errorTitle="Invalid source" error="Please choose a source from the dropdown list." sqref="D5:D9999" xr:uid="{00000000-0002-0000-0400-000000000000}">
      <formula1>"Salary,Freelance,Rental Income,Dividends,Bonus,Other Income"</formula1>
    </dataValidation>
    <dataValidation type="list" allowBlank="1" sqref="F5:F9999" xr:uid="{00000000-0002-0000-0400-000001000000}">
      <formula1>"HDFC Bank,SBI,ICICI Bank,Axis Bank,Cash,Wallet"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6000"/>
  </sheetPr>
  <dimension ref="B1:E17"/>
  <sheetViews>
    <sheetView showGridLines="0" workbookViewId="0"/>
  </sheetViews>
  <sheetFormatPr defaultRowHeight="14.5" x14ac:dyDescent="0.35"/>
  <cols>
    <col min="1" max="1" width="2" customWidth="1"/>
    <col min="2" max="2" width="26" customWidth="1"/>
    <col min="3" max="3" width="18" customWidth="1"/>
    <col min="4" max="4" width="14" customWidth="1"/>
    <col min="5" max="5" width="18" customWidth="1"/>
    <col min="6" max="6" width="2" customWidth="1"/>
  </cols>
  <sheetData>
    <row r="1" spans="2:5" ht="36" customHeight="1" x14ac:dyDescent="0.35">
      <c r="B1" s="58" t="s">
        <v>163</v>
      </c>
      <c r="C1" s="54"/>
      <c r="D1" s="54"/>
      <c r="E1" s="54"/>
    </row>
    <row r="2" spans="2:5" ht="20" customHeight="1" x14ac:dyDescent="0.35">
      <c r="B2" s="55" t="s">
        <v>164</v>
      </c>
      <c r="C2" s="54"/>
      <c r="D2" s="54"/>
      <c r="E2" s="54"/>
    </row>
    <row r="3" spans="2:5" ht="10" customHeight="1" x14ac:dyDescent="0.35"/>
    <row r="4" spans="2:5" ht="22" customHeight="1" x14ac:dyDescent="0.35">
      <c r="B4" s="6" t="s">
        <v>113</v>
      </c>
      <c r="C4" s="6" t="s">
        <v>110</v>
      </c>
      <c r="D4" s="6" t="s">
        <v>165</v>
      </c>
      <c r="E4" s="6" t="s">
        <v>166</v>
      </c>
    </row>
    <row r="5" spans="2:5" ht="22" customHeight="1" x14ac:dyDescent="0.35">
      <c r="B5" s="4" t="s">
        <v>43</v>
      </c>
      <c r="C5" s="8">
        <f>SUMIFS('Expense Log'!$E:$E,'Expense Log'!$D:$D,"Housing",'Expense Log'!$B:$B,"&gt;="&amp;DATE(2024,1,1),'Expense Log'!$B:$B,"&lt;"&amp;DATE(2025,1,1))</f>
        <v>54000</v>
      </c>
      <c r="D5" s="45">
        <f>IF(SUMIFS('Expense Log'!$E:$E,'Expense Log'!$B:$B,"&gt;="&amp;DATE(2024,1,1),'Expense Log'!$B:$B,"&lt;"&amp;DATE(2025,1,1))=0,0,C5/SUMIFS('Expense Log'!$E:$E,'Expense Log'!$B:$B,"&gt;="&amp;DATE(2024,1,1),'Expense Log'!$B:$B,"&lt;"&amp;DATE(2025,1,1)))</f>
        <v>0.73421439060205584</v>
      </c>
      <c r="E5" s="8">
        <f t="shared" ref="E5:E16" si="0">C5/12</f>
        <v>4500</v>
      </c>
    </row>
    <row r="6" spans="2:5" ht="22" customHeight="1" x14ac:dyDescent="0.35">
      <c r="B6" s="2" t="s">
        <v>45</v>
      </c>
      <c r="C6" s="11">
        <f>SUMIFS('Expense Log'!$E:$E,'Expense Log'!$D:$D,"Food and Groceries",'Expense Log'!$B:$B,"&gt;="&amp;DATE(2024,1,1),'Expense Log'!$B:$B,"&lt;"&amp;DATE(2025,1,1))</f>
        <v>6450</v>
      </c>
      <c r="D6" s="46">
        <f>IF(SUMIFS('Expense Log'!$E:$E,'Expense Log'!$B:$B,"&gt;="&amp;DATE(2024,1,1),'Expense Log'!$B:$B,"&lt;"&amp;DATE(2025,1,1))=0,0,C6/SUMIFS('Expense Log'!$E:$E,'Expense Log'!$B:$B,"&gt;="&amp;DATE(2024,1,1),'Expense Log'!$B:$B,"&lt;"&amp;DATE(2025,1,1)))</f>
        <v>8.769782998857889E-2</v>
      </c>
      <c r="E6" s="11">
        <f t="shared" si="0"/>
        <v>537.5</v>
      </c>
    </row>
    <row r="7" spans="2:5" ht="22" customHeight="1" x14ac:dyDescent="0.35">
      <c r="B7" s="4" t="s">
        <v>46</v>
      </c>
      <c r="C7" s="8">
        <f>SUMIFS('Expense Log'!$E:$E,'Expense Log'!$D:$D,"Transport",'Expense Log'!$B:$B,"&gt;="&amp;DATE(2024,1,1),'Expense Log'!$B:$B,"&lt;"&amp;DATE(2025,1,1))</f>
        <v>1600</v>
      </c>
      <c r="D7" s="45">
        <f>IF(SUMIFS('Expense Log'!$E:$E,'Expense Log'!$B:$B,"&gt;="&amp;DATE(2024,1,1),'Expense Log'!$B:$B,"&lt;"&amp;DATE(2025,1,1))=0,0,C7/SUMIFS('Expense Log'!$E:$E,'Expense Log'!$B:$B,"&gt;="&amp;DATE(2024,1,1),'Expense Log'!$B:$B,"&lt;"&amp;DATE(2025,1,1)))</f>
        <v>2.1754500462283135E-2</v>
      </c>
      <c r="E7" s="8">
        <f t="shared" si="0"/>
        <v>133.33333333333334</v>
      </c>
    </row>
    <row r="8" spans="2:5" ht="22" customHeight="1" x14ac:dyDescent="0.35">
      <c r="B8" s="2" t="s">
        <v>47</v>
      </c>
      <c r="C8" s="11">
        <f>SUMIFS('Expense Log'!$E:$E,'Expense Log'!$D:$D,"Health and Medical",'Expense Log'!$B:$B,"&gt;="&amp;DATE(2024,1,1),'Expense Log'!$B:$B,"&lt;"&amp;DATE(2025,1,1))</f>
        <v>700</v>
      </c>
      <c r="D8" s="46">
        <f>IF(SUMIFS('Expense Log'!$E:$E,'Expense Log'!$B:$B,"&gt;="&amp;DATE(2024,1,1),'Expense Log'!$B:$B,"&lt;"&amp;DATE(2025,1,1))=0,0,C8/SUMIFS('Expense Log'!$E:$E,'Expense Log'!$B:$B,"&gt;="&amp;DATE(2024,1,1),'Expense Log'!$B:$B,"&lt;"&amp;DATE(2025,1,1)))</f>
        <v>9.5175939522488713E-3</v>
      </c>
      <c r="E8" s="11">
        <f t="shared" si="0"/>
        <v>58.333333333333336</v>
      </c>
    </row>
    <row r="9" spans="2:5" ht="22" customHeight="1" x14ac:dyDescent="0.35">
      <c r="B9" s="4" t="s">
        <v>48</v>
      </c>
      <c r="C9" s="8">
        <f>SUMIFS('Expense Log'!$E:$E,'Expense Log'!$D:$D,"Education",'Expense Log'!$B:$B,"&gt;="&amp;DATE(2024,1,1),'Expense Log'!$B:$B,"&lt;"&amp;DATE(2025,1,1))</f>
        <v>499</v>
      </c>
      <c r="D9" s="45">
        <f>IF(SUMIFS('Expense Log'!$E:$E,'Expense Log'!$B:$B,"&gt;="&amp;DATE(2024,1,1),'Expense Log'!$B:$B,"&lt;"&amp;DATE(2025,1,1))=0,0,C9/SUMIFS('Expense Log'!$E:$E,'Expense Log'!$B:$B,"&gt;="&amp;DATE(2024,1,1),'Expense Log'!$B:$B,"&lt;"&amp;DATE(2025,1,1)))</f>
        <v>6.784684831674553E-3</v>
      </c>
      <c r="E9" s="8">
        <f t="shared" si="0"/>
        <v>41.583333333333336</v>
      </c>
    </row>
    <row r="10" spans="2:5" ht="22" customHeight="1" x14ac:dyDescent="0.35">
      <c r="B10" s="2" t="s">
        <v>49</v>
      </c>
      <c r="C10" s="11">
        <f>SUMIFS('Expense Log'!$E:$E,'Expense Log'!$D:$D,"Shopping",'Expense Log'!$B:$B,"&gt;="&amp;DATE(2024,1,1),'Expense Log'!$B:$B,"&lt;"&amp;DATE(2025,1,1))</f>
        <v>1200</v>
      </c>
      <c r="D10" s="46">
        <f>IF(SUMIFS('Expense Log'!$E:$E,'Expense Log'!$B:$B,"&gt;="&amp;DATE(2024,1,1),'Expense Log'!$B:$B,"&lt;"&amp;DATE(2025,1,1))=0,0,C10/SUMIFS('Expense Log'!$E:$E,'Expense Log'!$B:$B,"&gt;="&amp;DATE(2024,1,1),'Expense Log'!$B:$B,"&lt;"&amp;DATE(2025,1,1)))</f>
        <v>1.631587534671235E-2</v>
      </c>
      <c r="E10" s="11">
        <f t="shared" si="0"/>
        <v>100</v>
      </c>
    </row>
    <row r="11" spans="2:5" ht="22" customHeight="1" x14ac:dyDescent="0.35">
      <c r="B11" s="4" t="s">
        <v>50</v>
      </c>
      <c r="C11" s="8">
        <f>SUMIFS('Expense Log'!$E:$E,'Expense Log'!$D:$D,"Subscriptions",'Expense Log'!$B:$B,"&gt;="&amp;DATE(2024,1,1),'Expense Log'!$B:$B,"&lt;"&amp;DATE(2025,1,1))</f>
        <v>499</v>
      </c>
      <c r="D11" s="45">
        <f>IF(SUMIFS('Expense Log'!$E:$E,'Expense Log'!$B:$B,"&gt;="&amp;DATE(2024,1,1),'Expense Log'!$B:$B,"&lt;"&amp;DATE(2025,1,1))=0,0,C11/SUMIFS('Expense Log'!$E:$E,'Expense Log'!$B:$B,"&gt;="&amp;DATE(2024,1,1),'Expense Log'!$B:$B,"&lt;"&amp;DATE(2025,1,1)))</f>
        <v>6.784684831674553E-3</v>
      </c>
      <c r="E11" s="8">
        <f t="shared" si="0"/>
        <v>41.583333333333336</v>
      </c>
    </row>
    <row r="12" spans="2:5" ht="22" customHeight="1" x14ac:dyDescent="0.35">
      <c r="B12" s="2" t="s">
        <v>51</v>
      </c>
      <c r="C12" s="11">
        <f>SUMIFS('Expense Log'!$E:$E,'Expense Log'!$D:$D,"Entertainment",'Expense Log'!$B:$B,"&gt;="&amp;DATE(2024,1,1),'Expense Log'!$B:$B,"&lt;"&amp;DATE(2025,1,1))</f>
        <v>600</v>
      </c>
      <c r="D12" s="46">
        <f>IF(SUMIFS('Expense Log'!$E:$E,'Expense Log'!$B:$B,"&gt;="&amp;DATE(2024,1,1),'Expense Log'!$B:$B,"&lt;"&amp;DATE(2025,1,1))=0,0,C12/SUMIFS('Expense Log'!$E:$E,'Expense Log'!$B:$B,"&gt;="&amp;DATE(2024,1,1),'Expense Log'!$B:$B,"&lt;"&amp;DATE(2025,1,1)))</f>
        <v>8.1579376733561752E-3</v>
      </c>
      <c r="E12" s="11">
        <f t="shared" si="0"/>
        <v>50</v>
      </c>
    </row>
    <row r="13" spans="2:5" ht="22" customHeight="1" x14ac:dyDescent="0.35">
      <c r="B13" s="4" t="s">
        <v>52</v>
      </c>
      <c r="C13" s="8">
        <f>SUMIFS('Expense Log'!$E:$E,'Expense Log'!$D:$D,"Travel",'Expense Log'!$B:$B,"&gt;="&amp;DATE(2024,1,1),'Expense Log'!$B:$B,"&lt;"&amp;DATE(2025,1,1))</f>
        <v>0</v>
      </c>
      <c r="D13" s="45">
        <f>IF(SUMIFS('Expense Log'!$E:$E,'Expense Log'!$B:$B,"&gt;="&amp;DATE(2024,1,1),'Expense Log'!$B:$B,"&lt;"&amp;DATE(2025,1,1))=0,0,C13/SUMIFS('Expense Log'!$E:$E,'Expense Log'!$B:$B,"&gt;="&amp;DATE(2024,1,1),'Expense Log'!$B:$B,"&lt;"&amp;DATE(2025,1,1)))</f>
        <v>0</v>
      </c>
      <c r="E13" s="8">
        <f t="shared" si="0"/>
        <v>0</v>
      </c>
    </row>
    <row r="14" spans="2:5" ht="22" customHeight="1" x14ac:dyDescent="0.35">
      <c r="B14" s="2" t="s">
        <v>53</v>
      </c>
      <c r="C14" s="11">
        <f>SUMIFS('Expense Log'!$E:$E,'Expense Log'!$D:$D,"Savings and Investments",'Expense Log'!$B:$B,"&gt;="&amp;DATE(2024,1,1),'Expense Log'!$B:$B,"&lt;"&amp;DATE(2025,1,1))</f>
        <v>8000</v>
      </c>
      <c r="D14" s="46">
        <f>IF(SUMIFS('Expense Log'!$E:$E,'Expense Log'!$B:$B,"&gt;="&amp;DATE(2024,1,1),'Expense Log'!$B:$B,"&lt;"&amp;DATE(2025,1,1))=0,0,C14/SUMIFS('Expense Log'!$E:$E,'Expense Log'!$B:$B,"&gt;="&amp;DATE(2024,1,1),'Expense Log'!$B:$B,"&lt;"&amp;DATE(2025,1,1)))</f>
        <v>0.10877250231141568</v>
      </c>
      <c r="E14" s="11">
        <f t="shared" si="0"/>
        <v>666.66666666666663</v>
      </c>
    </row>
    <row r="15" spans="2:5" ht="22" customHeight="1" x14ac:dyDescent="0.35">
      <c r="B15" s="4" t="s">
        <v>54</v>
      </c>
      <c r="C15" s="8">
        <f>SUMIFS('Expense Log'!$E:$E,'Expense Log'!$D:$D,"Miscellaneous",'Expense Log'!$B:$B,"&gt;="&amp;DATE(2024,1,1),'Expense Log'!$B:$B,"&lt;"&amp;DATE(2025,1,1))</f>
        <v>0</v>
      </c>
      <c r="D15" s="45">
        <f>IF(SUMIFS('Expense Log'!$E:$E,'Expense Log'!$B:$B,"&gt;="&amp;DATE(2024,1,1),'Expense Log'!$B:$B,"&lt;"&amp;DATE(2025,1,1))=0,0,C15/SUMIFS('Expense Log'!$E:$E,'Expense Log'!$B:$B,"&gt;="&amp;DATE(2024,1,1),'Expense Log'!$B:$B,"&lt;"&amp;DATE(2025,1,1)))</f>
        <v>0</v>
      </c>
      <c r="E15" s="8">
        <f t="shared" si="0"/>
        <v>0</v>
      </c>
    </row>
    <row r="16" spans="2:5" ht="24" customHeight="1" x14ac:dyDescent="0.35">
      <c r="B16" s="12" t="s">
        <v>167</v>
      </c>
      <c r="C16" s="13">
        <f>SUMIFS('Expense Log'!$E:$E,'Expense Log'!$B:$B,"&gt;="&amp;DATE(2024,1,1),'Expense Log'!$B:$B,"&lt;"&amp;DATE(2025,1,1))</f>
        <v>73548</v>
      </c>
      <c r="D16" s="47">
        <f>1</f>
        <v>1</v>
      </c>
      <c r="E16" s="13">
        <f t="shared" si="0"/>
        <v>6129</v>
      </c>
    </row>
    <row r="17" ht="12" customHeight="1" x14ac:dyDescent="0.35"/>
  </sheetData>
  <mergeCells count="2">
    <mergeCell ref="B1:E1"/>
    <mergeCell ref="B2:E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B1:I15"/>
  <sheetViews>
    <sheetView showGridLines="0" workbookViewId="0"/>
  </sheetViews>
  <sheetFormatPr defaultRowHeight="14.5" x14ac:dyDescent="0.35"/>
  <cols>
    <col min="1" max="1" width="2" customWidth="1"/>
    <col min="2" max="2" width="30" customWidth="1"/>
    <col min="3" max="5" width="16" customWidth="1"/>
    <col min="6" max="6" width="12" customWidth="1"/>
    <col min="7" max="7" width="14" customWidth="1"/>
    <col min="8" max="8" width="16" customWidth="1"/>
    <col min="9" max="9" width="2" customWidth="1"/>
  </cols>
  <sheetData>
    <row r="1" spans="2:9" ht="36" customHeight="1" x14ac:dyDescent="0.35">
      <c r="B1" s="58" t="s">
        <v>168</v>
      </c>
      <c r="C1" s="54"/>
      <c r="D1" s="54"/>
      <c r="E1" s="54"/>
      <c r="F1" s="54"/>
      <c r="G1" s="54"/>
      <c r="H1" s="54"/>
    </row>
    <row r="2" spans="2:9" ht="28" customHeight="1" x14ac:dyDescent="0.35">
      <c r="B2" s="68" t="s">
        <v>169</v>
      </c>
      <c r="C2" s="54"/>
      <c r="D2" s="54"/>
      <c r="E2" s="54"/>
      <c r="F2" s="54"/>
      <c r="G2" s="54"/>
      <c r="H2" s="54"/>
    </row>
    <row r="3" spans="2:9" ht="10" customHeight="1" x14ac:dyDescent="0.35"/>
    <row r="4" spans="2:9" ht="22" customHeight="1" x14ac:dyDescent="0.35">
      <c r="B4" s="6" t="s">
        <v>170</v>
      </c>
      <c r="C4" s="6" t="s">
        <v>171</v>
      </c>
      <c r="D4" s="6" t="s">
        <v>172</v>
      </c>
      <c r="E4" s="6" t="s">
        <v>173</v>
      </c>
      <c r="F4" s="6" t="s">
        <v>174</v>
      </c>
      <c r="G4" s="6" t="s">
        <v>175</v>
      </c>
      <c r="H4" s="6" t="s">
        <v>176</v>
      </c>
      <c r="I4" s="6" t="s">
        <v>177</v>
      </c>
    </row>
    <row r="5" spans="2:9" ht="24" customHeight="1" x14ac:dyDescent="0.35">
      <c r="B5" s="4" t="s">
        <v>178</v>
      </c>
      <c r="C5" s="8">
        <v>300000</v>
      </c>
      <c r="D5" s="11">
        <v>85000</v>
      </c>
      <c r="E5" s="23">
        <f t="shared" ref="E5:E14" si="0">C5-D5</f>
        <v>215000</v>
      </c>
      <c r="F5" s="48">
        <f t="shared" ref="F5:F15" si="1">IF(C5=0,0,D5/C5)</f>
        <v>0.28333333333333333</v>
      </c>
      <c r="G5" s="30" t="s">
        <v>179</v>
      </c>
      <c r="H5" s="49" t="str">
        <f t="shared" ref="H5:H14" si="2">IF(D5&gt;=C5,"Complete",IF(D5/C5&gt;=0.8,"Almost there",IF(D5/C5&gt;=0.5,"On track","Started")))</f>
        <v>Started</v>
      </c>
      <c r="I5" s="50" t="s">
        <v>180</v>
      </c>
    </row>
    <row r="6" spans="2:9" ht="24" customHeight="1" x14ac:dyDescent="0.35">
      <c r="B6" s="2" t="s">
        <v>181</v>
      </c>
      <c r="C6" s="11">
        <v>1500000</v>
      </c>
      <c r="D6" s="11">
        <v>250000</v>
      </c>
      <c r="E6" s="23">
        <f t="shared" si="0"/>
        <v>1250000</v>
      </c>
      <c r="F6" s="48">
        <f t="shared" si="1"/>
        <v>0.16666666666666666</v>
      </c>
      <c r="G6" s="32" t="s">
        <v>182</v>
      </c>
      <c r="H6" s="51" t="str">
        <f t="shared" si="2"/>
        <v>Started</v>
      </c>
      <c r="I6" s="50" t="s">
        <v>180</v>
      </c>
    </row>
    <row r="7" spans="2:9" ht="24" customHeight="1" x14ac:dyDescent="0.35">
      <c r="B7" s="4" t="s">
        <v>183</v>
      </c>
      <c r="C7" s="8">
        <v>600000</v>
      </c>
      <c r="D7" s="11">
        <v>120000</v>
      </c>
      <c r="E7" s="23">
        <f t="shared" si="0"/>
        <v>480000</v>
      </c>
      <c r="F7" s="48">
        <f t="shared" si="1"/>
        <v>0.2</v>
      </c>
      <c r="G7" s="30" t="s">
        <v>184</v>
      </c>
      <c r="H7" s="49" t="str">
        <f t="shared" si="2"/>
        <v>Started</v>
      </c>
      <c r="I7" s="30" t="s">
        <v>185</v>
      </c>
    </row>
    <row r="8" spans="2:9" ht="24" customHeight="1" x14ac:dyDescent="0.35">
      <c r="B8" s="2" t="s">
        <v>186</v>
      </c>
      <c r="C8" s="11">
        <v>150000</v>
      </c>
      <c r="D8" s="11">
        <v>45000</v>
      </c>
      <c r="E8" s="23">
        <f t="shared" si="0"/>
        <v>105000</v>
      </c>
      <c r="F8" s="48">
        <f t="shared" si="1"/>
        <v>0.3</v>
      </c>
      <c r="G8" s="32" t="s">
        <v>187</v>
      </c>
      <c r="H8" s="51" t="str">
        <f t="shared" si="2"/>
        <v>Started</v>
      </c>
      <c r="I8" s="32" t="s">
        <v>185</v>
      </c>
    </row>
    <row r="9" spans="2:9" ht="24" customHeight="1" x14ac:dyDescent="0.35">
      <c r="B9" s="4" t="s">
        <v>188</v>
      </c>
      <c r="C9" s="8">
        <v>500000</v>
      </c>
      <c r="D9" s="11">
        <v>80000</v>
      </c>
      <c r="E9" s="23">
        <f t="shared" si="0"/>
        <v>420000</v>
      </c>
      <c r="F9" s="48">
        <f t="shared" si="1"/>
        <v>0.16</v>
      </c>
      <c r="G9" s="30" t="s">
        <v>189</v>
      </c>
      <c r="H9" s="49" t="str">
        <f t="shared" si="2"/>
        <v>Started</v>
      </c>
      <c r="I9" s="50" t="s">
        <v>180</v>
      </c>
    </row>
    <row r="10" spans="2:9" ht="24" customHeight="1" x14ac:dyDescent="0.35">
      <c r="B10" s="2" t="s">
        <v>190</v>
      </c>
      <c r="C10" s="11">
        <v>80000</v>
      </c>
      <c r="D10" s="11">
        <v>30000</v>
      </c>
      <c r="E10" s="23">
        <f t="shared" si="0"/>
        <v>50000</v>
      </c>
      <c r="F10" s="48">
        <f t="shared" si="1"/>
        <v>0.375</v>
      </c>
      <c r="G10" s="32" t="s">
        <v>191</v>
      </c>
      <c r="H10" s="51" t="str">
        <f t="shared" si="2"/>
        <v>Started</v>
      </c>
      <c r="I10" s="32" t="s">
        <v>192</v>
      </c>
    </row>
    <row r="11" spans="2:9" ht="24" customHeight="1" x14ac:dyDescent="0.35">
      <c r="B11" s="4" t="s">
        <v>193</v>
      </c>
      <c r="C11" s="8">
        <v>1000000</v>
      </c>
      <c r="D11" s="11">
        <v>180000</v>
      </c>
      <c r="E11" s="23">
        <f t="shared" si="0"/>
        <v>820000</v>
      </c>
      <c r="F11" s="48">
        <f t="shared" si="1"/>
        <v>0.18</v>
      </c>
      <c r="G11" s="30" t="s">
        <v>194</v>
      </c>
      <c r="H11" s="49" t="str">
        <f t="shared" si="2"/>
        <v>Started</v>
      </c>
      <c r="I11" s="30" t="s">
        <v>185</v>
      </c>
    </row>
    <row r="12" spans="2:9" ht="24" customHeight="1" x14ac:dyDescent="0.35">
      <c r="B12" s="2" t="s">
        <v>195</v>
      </c>
      <c r="C12" s="11">
        <v>400000</v>
      </c>
      <c r="D12" s="11">
        <v>60000</v>
      </c>
      <c r="E12" s="23">
        <f t="shared" si="0"/>
        <v>340000</v>
      </c>
      <c r="F12" s="48">
        <f t="shared" si="1"/>
        <v>0.15</v>
      </c>
      <c r="G12" s="32" t="s">
        <v>196</v>
      </c>
      <c r="H12" s="51" t="str">
        <f t="shared" si="2"/>
        <v>Started</v>
      </c>
      <c r="I12" s="32" t="s">
        <v>185</v>
      </c>
    </row>
    <row r="13" spans="2:9" ht="24" customHeight="1" x14ac:dyDescent="0.35">
      <c r="B13" s="4" t="s">
        <v>197</v>
      </c>
      <c r="C13" s="8">
        <v>50000</v>
      </c>
      <c r="D13" s="11">
        <v>50000</v>
      </c>
      <c r="E13" s="23">
        <f t="shared" si="0"/>
        <v>0</v>
      </c>
      <c r="F13" s="48">
        <f t="shared" si="1"/>
        <v>1</v>
      </c>
      <c r="G13" s="30" t="s">
        <v>198</v>
      </c>
      <c r="H13" s="49" t="str">
        <f t="shared" si="2"/>
        <v>Complete</v>
      </c>
      <c r="I13" s="30" t="s">
        <v>192</v>
      </c>
    </row>
    <row r="14" spans="2:9" ht="24" customHeight="1" x14ac:dyDescent="0.35">
      <c r="B14" s="2" t="s">
        <v>199</v>
      </c>
      <c r="C14" s="11">
        <v>10000000</v>
      </c>
      <c r="D14" s="11">
        <v>500000</v>
      </c>
      <c r="E14" s="23">
        <f t="shared" si="0"/>
        <v>9500000</v>
      </c>
      <c r="F14" s="48">
        <f t="shared" si="1"/>
        <v>0.05</v>
      </c>
      <c r="G14" s="32" t="s">
        <v>200</v>
      </c>
      <c r="H14" s="51" t="str">
        <f t="shared" si="2"/>
        <v>Started</v>
      </c>
      <c r="I14" s="50" t="s">
        <v>180</v>
      </c>
    </row>
    <row r="15" spans="2:9" ht="24" customHeight="1" x14ac:dyDescent="0.35">
      <c r="B15" s="12" t="s">
        <v>167</v>
      </c>
      <c r="C15" s="13">
        <f>SUM(C5:C14)</f>
        <v>14580000</v>
      </c>
      <c r="D15" s="13">
        <f>SUM(D5:D14)</f>
        <v>1400000</v>
      </c>
      <c r="E15" s="13">
        <f>SUM(E5:E14)</f>
        <v>13180000</v>
      </c>
      <c r="F15" s="47">
        <f t="shared" si="1"/>
        <v>9.6021947873799723E-2</v>
      </c>
      <c r="G15" s="52"/>
      <c r="H15" s="52"/>
      <c r="I15" s="52"/>
    </row>
  </sheetData>
  <mergeCells count="2">
    <mergeCell ref="B1:H1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B1:G27"/>
  <sheetViews>
    <sheetView showGridLines="0" workbookViewId="0"/>
  </sheetViews>
  <sheetFormatPr defaultRowHeight="14.5" x14ac:dyDescent="0.35"/>
  <cols>
    <col min="1" max="1" width="2" customWidth="1"/>
    <col min="2" max="2" width="16" customWidth="1"/>
    <col min="3" max="5" width="18" customWidth="1"/>
    <col min="6" max="6" width="14" customWidth="1"/>
    <col min="7" max="7" width="20" customWidth="1"/>
    <col min="8" max="8" width="2" customWidth="1"/>
  </cols>
  <sheetData>
    <row r="1" spans="2:7" ht="36" customHeight="1" x14ac:dyDescent="0.35">
      <c r="B1" s="58" t="s">
        <v>201</v>
      </c>
      <c r="C1" s="54"/>
      <c r="D1" s="54"/>
      <c r="E1" s="54"/>
      <c r="F1" s="54"/>
      <c r="G1" s="54"/>
    </row>
    <row r="2" spans="2:7" ht="20" customHeight="1" x14ac:dyDescent="0.35">
      <c r="B2" s="55" t="s">
        <v>202</v>
      </c>
      <c r="C2" s="54"/>
      <c r="D2" s="54"/>
      <c r="E2" s="54"/>
      <c r="F2" s="54"/>
      <c r="G2" s="54"/>
    </row>
    <row r="3" spans="2:7" ht="10" customHeight="1" x14ac:dyDescent="0.35"/>
    <row r="4" spans="2:7" ht="22" customHeight="1" x14ac:dyDescent="0.35">
      <c r="B4" s="6" t="s">
        <v>78</v>
      </c>
      <c r="C4" s="6" t="s">
        <v>79</v>
      </c>
      <c r="D4" s="6" t="s">
        <v>80</v>
      </c>
      <c r="E4" s="6" t="s">
        <v>81</v>
      </c>
      <c r="F4" s="6" t="s">
        <v>76</v>
      </c>
      <c r="G4" s="6" t="s">
        <v>203</v>
      </c>
    </row>
    <row r="5" spans="2:7" ht="22" customHeight="1" x14ac:dyDescent="0.35">
      <c r="B5" s="7" t="s">
        <v>82</v>
      </c>
      <c r="C5" s="8">
        <f>SUMIFS('Income Log'!$E:$E,'Income Log'!$B:$B,"&gt;="&amp;DATE(2024,1,1),'Income Log'!$B:$B,"&lt;"&amp;DATE(2024,2,1))</f>
        <v>88920</v>
      </c>
      <c r="D5" s="8">
        <f>SUMIFS('Expense Log'!$E:$E,'Expense Log'!$B:$B,"&gt;="&amp;DATE(2024,1,1),'Expense Log'!$B:$B,"&lt;"&amp;DATE(2024,2,1))</f>
        <v>30548</v>
      </c>
      <c r="E5" s="9">
        <f t="shared" ref="E5:E16" si="0">C5-D5</f>
        <v>58372</v>
      </c>
      <c r="F5" s="45">
        <f t="shared" ref="F5:F17" si="1">IF(C5=0,0,E5/C5)</f>
        <v>0.65645524066576699</v>
      </c>
      <c r="G5" s="27">
        <f>E5</f>
        <v>58372</v>
      </c>
    </row>
    <row r="6" spans="2:7" ht="22" customHeight="1" x14ac:dyDescent="0.35">
      <c r="B6" s="10" t="s">
        <v>83</v>
      </c>
      <c r="C6" s="11">
        <f>SUMIFS('Income Log'!$E:$E,'Income Log'!$B:$B,"&gt;="&amp;DATE(2024,2,1),'Income Log'!$B:$B,"&lt;"&amp;DATE(2024,3,1))</f>
        <v>93000</v>
      </c>
      <c r="D6" s="11">
        <f>SUMIFS('Expense Log'!$E:$E,'Expense Log'!$B:$B,"&gt;="&amp;DATE(2024,2,1),'Expense Log'!$B:$B,"&lt;"&amp;DATE(2024,3,1))</f>
        <v>25000</v>
      </c>
      <c r="E6" s="9">
        <f t="shared" si="0"/>
        <v>68000</v>
      </c>
      <c r="F6" s="46">
        <f t="shared" si="1"/>
        <v>0.73118279569892475</v>
      </c>
      <c r="G6" s="27">
        <f t="shared" ref="G6:G16" si="2">G5+E6</f>
        <v>126372</v>
      </c>
    </row>
    <row r="7" spans="2:7" ht="22" customHeight="1" x14ac:dyDescent="0.35">
      <c r="B7" s="7" t="s">
        <v>84</v>
      </c>
      <c r="C7" s="8">
        <f>SUMIFS('Income Log'!$E:$E,'Income Log'!$B:$B,"&gt;="&amp;DATE(2024,3,1),'Income Log'!$B:$B,"&lt;"&amp;DATE(2024,4,1))</f>
        <v>100000</v>
      </c>
      <c r="D7" s="8">
        <f>SUMIFS('Expense Log'!$E:$E,'Expense Log'!$B:$B,"&gt;="&amp;DATE(2024,3,1),'Expense Log'!$B:$B,"&lt;"&amp;DATE(2024,4,1))</f>
        <v>18000</v>
      </c>
      <c r="E7" s="9">
        <f t="shared" si="0"/>
        <v>82000</v>
      </c>
      <c r="F7" s="45">
        <f t="shared" si="1"/>
        <v>0.82</v>
      </c>
      <c r="G7" s="27">
        <f t="shared" si="2"/>
        <v>208372</v>
      </c>
    </row>
    <row r="8" spans="2:7" ht="22" customHeight="1" x14ac:dyDescent="0.35">
      <c r="B8" s="10" t="s">
        <v>85</v>
      </c>
      <c r="C8" s="11">
        <f>SUMIFS('Income Log'!$E:$E,'Income Log'!$B:$B,"&gt;="&amp;DATE(2024,4,1),'Income Log'!$B:$B,"&lt;"&amp;DATE(2024,5,1))</f>
        <v>0</v>
      </c>
      <c r="D8" s="11">
        <f>SUMIFS('Expense Log'!$E:$E,'Expense Log'!$B:$B,"&gt;="&amp;DATE(2024,4,1),'Expense Log'!$B:$B,"&lt;"&amp;DATE(2024,5,1))</f>
        <v>0</v>
      </c>
      <c r="E8" s="9">
        <f t="shared" si="0"/>
        <v>0</v>
      </c>
      <c r="F8" s="46">
        <f t="shared" si="1"/>
        <v>0</v>
      </c>
      <c r="G8" s="27">
        <f t="shared" si="2"/>
        <v>208372</v>
      </c>
    </row>
    <row r="9" spans="2:7" ht="22" customHeight="1" x14ac:dyDescent="0.35">
      <c r="B9" s="7" t="s">
        <v>86</v>
      </c>
      <c r="C9" s="8">
        <f>SUMIFS('Income Log'!$E:$E,'Income Log'!$B:$B,"&gt;="&amp;DATE(2024,5,1),'Income Log'!$B:$B,"&lt;"&amp;DATE(2024,6,1))</f>
        <v>0</v>
      </c>
      <c r="D9" s="8">
        <f>SUMIFS('Expense Log'!$E:$E,'Expense Log'!$B:$B,"&gt;="&amp;DATE(2024,5,1),'Expense Log'!$B:$B,"&lt;"&amp;DATE(2024,6,1))</f>
        <v>0</v>
      </c>
      <c r="E9" s="9">
        <f t="shared" si="0"/>
        <v>0</v>
      </c>
      <c r="F9" s="45">
        <f t="shared" si="1"/>
        <v>0</v>
      </c>
      <c r="G9" s="27">
        <f t="shared" si="2"/>
        <v>208372</v>
      </c>
    </row>
    <row r="10" spans="2:7" ht="22" customHeight="1" x14ac:dyDescent="0.35">
      <c r="B10" s="10" t="s">
        <v>87</v>
      </c>
      <c r="C10" s="11">
        <f>SUMIFS('Income Log'!$E:$E,'Income Log'!$B:$B,"&gt;="&amp;DATE(2024,6,1),'Income Log'!$B:$B,"&lt;"&amp;DATE(2024,7,1))</f>
        <v>0</v>
      </c>
      <c r="D10" s="11">
        <f>SUMIFS('Expense Log'!$E:$E,'Expense Log'!$B:$B,"&gt;="&amp;DATE(2024,6,1),'Expense Log'!$B:$B,"&lt;"&amp;DATE(2024,7,1))</f>
        <v>0</v>
      </c>
      <c r="E10" s="9">
        <f t="shared" si="0"/>
        <v>0</v>
      </c>
      <c r="F10" s="46">
        <f t="shared" si="1"/>
        <v>0</v>
      </c>
      <c r="G10" s="27">
        <f t="shared" si="2"/>
        <v>208372</v>
      </c>
    </row>
    <row r="11" spans="2:7" ht="22" customHeight="1" x14ac:dyDescent="0.35">
      <c r="B11" s="7" t="s">
        <v>88</v>
      </c>
      <c r="C11" s="8">
        <f>SUMIFS('Income Log'!$E:$E,'Income Log'!$B:$B,"&gt;="&amp;DATE(2024,7,1),'Income Log'!$B:$B,"&lt;"&amp;DATE(2024,8,1))</f>
        <v>0</v>
      </c>
      <c r="D11" s="8">
        <f>SUMIFS('Expense Log'!$E:$E,'Expense Log'!$B:$B,"&gt;="&amp;DATE(2024,7,1),'Expense Log'!$B:$B,"&lt;"&amp;DATE(2024,8,1))</f>
        <v>0</v>
      </c>
      <c r="E11" s="9">
        <f t="shared" si="0"/>
        <v>0</v>
      </c>
      <c r="F11" s="45">
        <f t="shared" si="1"/>
        <v>0</v>
      </c>
      <c r="G11" s="27">
        <f t="shared" si="2"/>
        <v>208372</v>
      </c>
    </row>
    <row r="12" spans="2:7" ht="22" customHeight="1" x14ac:dyDescent="0.35">
      <c r="B12" s="10" t="s">
        <v>89</v>
      </c>
      <c r="C12" s="11">
        <f>SUMIFS('Income Log'!$E:$E,'Income Log'!$B:$B,"&gt;="&amp;DATE(2024,8,1),'Income Log'!$B:$B,"&lt;"&amp;DATE(2024,9,1))</f>
        <v>0</v>
      </c>
      <c r="D12" s="11">
        <f>SUMIFS('Expense Log'!$E:$E,'Expense Log'!$B:$B,"&gt;="&amp;DATE(2024,8,1),'Expense Log'!$B:$B,"&lt;"&amp;DATE(2024,9,1))</f>
        <v>0</v>
      </c>
      <c r="E12" s="9">
        <f t="shared" si="0"/>
        <v>0</v>
      </c>
      <c r="F12" s="46">
        <f t="shared" si="1"/>
        <v>0</v>
      </c>
      <c r="G12" s="27">
        <f t="shared" si="2"/>
        <v>208372</v>
      </c>
    </row>
    <row r="13" spans="2:7" ht="22" customHeight="1" x14ac:dyDescent="0.35">
      <c r="B13" s="7" t="s">
        <v>90</v>
      </c>
      <c r="C13" s="8">
        <f>SUMIFS('Income Log'!$E:$E,'Income Log'!$B:$B,"&gt;="&amp;DATE(2024,9,1),'Income Log'!$B:$B,"&lt;"&amp;DATE(2024,10,1))</f>
        <v>0</v>
      </c>
      <c r="D13" s="8">
        <f>SUMIFS('Expense Log'!$E:$E,'Expense Log'!$B:$B,"&gt;="&amp;DATE(2024,9,1),'Expense Log'!$B:$B,"&lt;"&amp;DATE(2024,10,1))</f>
        <v>0</v>
      </c>
      <c r="E13" s="9">
        <f t="shared" si="0"/>
        <v>0</v>
      </c>
      <c r="F13" s="45">
        <f t="shared" si="1"/>
        <v>0</v>
      </c>
      <c r="G13" s="27">
        <f t="shared" si="2"/>
        <v>208372</v>
      </c>
    </row>
    <row r="14" spans="2:7" ht="22" customHeight="1" x14ac:dyDescent="0.35">
      <c r="B14" s="10" t="s">
        <v>91</v>
      </c>
      <c r="C14" s="11">
        <f>SUMIFS('Income Log'!$E:$E,'Income Log'!$B:$B,"&gt;="&amp;DATE(2024,10,1),'Income Log'!$B:$B,"&lt;"&amp;DATE(2024,11,1))</f>
        <v>0</v>
      </c>
      <c r="D14" s="11">
        <f>SUMIFS('Expense Log'!$E:$E,'Expense Log'!$B:$B,"&gt;="&amp;DATE(2024,10,1),'Expense Log'!$B:$B,"&lt;"&amp;DATE(2024,11,1))</f>
        <v>0</v>
      </c>
      <c r="E14" s="9">
        <f t="shared" si="0"/>
        <v>0</v>
      </c>
      <c r="F14" s="46">
        <f t="shared" si="1"/>
        <v>0</v>
      </c>
      <c r="G14" s="27">
        <f t="shared" si="2"/>
        <v>208372</v>
      </c>
    </row>
    <row r="15" spans="2:7" ht="22" customHeight="1" x14ac:dyDescent="0.35">
      <c r="B15" s="7" t="s">
        <v>92</v>
      </c>
      <c r="C15" s="8">
        <f>SUMIFS('Income Log'!$E:$E,'Income Log'!$B:$B,"&gt;="&amp;DATE(2024,11,1),'Income Log'!$B:$B,"&lt;"&amp;DATE(2024,12,1))</f>
        <v>0</v>
      </c>
      <c r="D15" s="8">
        <f>SUMIFS('Expense Log'!$E:$E,'Expense Log'!$B:$B,"&gt;="&amp;DATE(2024,11,1),'Expense Log'!$B:$B,"&lt;"&amp;DATE(2024,12,1))</f>
        <v>0</v>
      </c>
      <c r="E15" s="9">
        <f t="shared" si="0"/>
        <v>0</v>
      </c>
      <c r="F15" s="45">
        <f t="shared" si="1"/>
        <v>0</v>
      </c>
      <c r="G15" s="27">
        <f t="shared" si="2"/>
        <v>208372</v>
      </c>
    </row>
    <row r="16" spans="2:7" ht="22" customHeight="1" x14ac:dyDescent="0.35">
      <c r="B16" s="10" t="s">
        <v>93</v>
      </c>
      <c r="C16" s="11">
        <f>SUMIFS('Income Log'!$E:$E,'Income Log'!$B:$B,"&gt;="&amp;DATE(2024,12,1),'Income Log'!$B:$B,"&lt;"&amp;DATE(2025,1,1))</f>
        <v>0</v>
      </c>
      <c r="D16" s="11">
        <f>SUMIFS('Expense Log'!$E:$E,'Expense Log'!$B:$B,"&gt;="&amp;DATE(2024,12,1),'Expense Log'!$B:$B,"&lt;"&amp;DATE(2025,1,1))</f>
        <v>0</v>
      </c>
      <c r="E16" s="9">
        <f t="shared" si="0"/>
        <v>0</v>
      </c>
      <c r="F16" s="46">
        <f t="shared" si="1"/>
        <v>0</v>
      </c>
      <c r="G16" s="27">
        <f t="shared" si="2"/>
        <v>208372</v>
      </c>
    </row>
    <row r="17" spans="2:7" ht="24" customHeight="1" x14ac:dyDescent="0.35">
      <c r="B17" s="12" t="s">
        <v>94</v>
      </c>
      <c r="C17" s="13">
        <f>SUM(C5:C16)</f>
        <v>281920</v>
      </c>
      <c r="D17" s="13">
        <f>SUM(D5:D16)</f>
        <v>73548</v>
      </c>
      <c r="E17" s="13">
        <f>SUM(E5:E16)</f>
        <v>208372</v>
      </c>
      <c r="F17" s="47">
        <f t="shared" si="1"/>
        <v>0.73911748013620882</v>
      </c>
      <c r="G17" s="13">
        <f>G16</f>
        <v>208372</v>
      </c>
    </row>
    <row r="18" spans="2:7" ht="12" customHeight="1" x14ac:dyDescent="0.35"/>
    <row r="19" spans="2:7" ht="24" customHeight="1" x14ac:dyDescent="0.35">
      <c r="B19" s="53" t="s">
        <v>204</v>
      </c>
      <c r="C19" s="54"/>
      <c r="D19" s="54"/>
      <c r="E19" s="54"/>
      <c r="F19" s="54"/>
      <c r="G19" s="54"/>
    </row>
    <row r="20" spans="2:7" ht="20" customHeight="1" x14ac:dyDescent="0.35">
      <c r="B20" s="6" t="s">
        <v>205</v>
      </c>
      <c r="C20" s="6" t="s">
        <v>206</v>
      </c>
    </row>
    <row r="21" spans="2:7" ht="22" customHeight="1" x14ac:dyDescent="0.35">
      <c r="B21" s="4" t="s">
        <v>207</v>
      </c>
      <c r="C21" s="77" t="str">
        <f>INDEX(B5:B16,MATCH(MAX(E5:E16),E5:E16,0))</f>
        <v>March</v>
      </c>
      <c r="D21" s="54"/>
      <c r="E21" s="54"/>
      <c r="F21" s="54"/>
      <c r="G21" s="54"/>
    </row>
    <row r="22" spans="2:7" ht="22" customHeight="1" x14ac:dyDescent="0.35">
      <c r="B22" s="2" t="s">
        <v>208</v>
      </c>
      <c r="C22" s="77" t="str">
        <f>INDEX(B5:B16,MATCH(MIN(E5:E16),E5:E16,0))</f>
        <v>April</v>
      </c>
      <c r="D22" s="54"/>
      <c r="E22" s="54"/>
      <c r="F22" s="54"/>
      <c r="G22" s="54"/>
    </row>
    <row r="23" spans="2:7" ht="22" customHeight="1" x14ac:dyDescent="0.35">
      <c r="B23" s="4" t="s">
        <v>209</v>
      </c>
      <c r="C23" s="78">
        <f>AVERAGE(C5:C16)</f>
        <v>23493.333333333332</v>
      </c>
      <c r="D23" s="54"/>
      <c r="E23" s="54"/>
      <c r="F23" s="54"/>
      <c r="G23" s="54"/>
    </row>
    <row r="24" spans="2:7" ht="22" customHeight="1" x14ac:dyDescent="0.35">
      <c r="B24" s="2" t="s">
        <v>210</v>
      </c>
      <c r="C24" s="78">
        <f>AVERAGE(D5:D16)</f>
        <v>6129</v>
      </c>
      <c r="D24" s="54"/>
      <c r="E24" s="54"/>
      <c r="F24" s="54"/>
      <c r="G24" s="54"/>
    </row>
    <row r="25" spans="2:7" ht="22" customHeight="1" x14ac:dyDescent="0.35">
      <c r="B25" s="4" t="s">
        <v>211</v>
      </c>
      <c r="C25" s="78">
        <f>AVERAGE(E5:E16)</f>
        <v>17364.333333333332</v>
      </c>
      <c r="D25" s="54"/>
      <c r="E25" s="54"/>
      <c r="F25" s="54"/>
      <c r="G25" s="54"/>
    </row>
    <row r="26" spans="2:7" ht="22" customHeight="1" x14ac:dyDescent="0.35">
      <c r="B26" s="2" t="s">
        <v>212</v>
      </c>
      <c r="C26" s="79">
        <f>IF(C17=0,0,E17/C17)</f>
        <v>0.73911748013620882</v>
      </c>
      <c r="D26" s="54"/>
      <c r="E26" s="54"/>
      <c r="F26" s="54"/>
      <c r="G26" s="54"/>
    </row>
    <row r="27" spans="2:7" ht="12" customHeight="1" x14ac:dyDescent="0.35"/>
  </sheetData>
  <mergeCells count="9">
    <mergeCell ref="C25:G25"/>
    <mergeCell ref="C23:G23"/>
    <mergeCell ref="C22:G22"/>
    <mergeCell ref="C26:G26"/>
    <mergeCell ref="B2:G2"/>
    <mergeCell ref="B19:G19"/>
    <mergeCell ref="C21:G21"/>
    <mergeCell ref="C24:G24"/>
    <mergeCell ref="B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Guide</vt:lpstr>
      <vt:lpstr>Dashboard</vt:lpstr>
      <vt:lpstr>Monthly Summary</vt:lpstr>
      <vt:lpstr>Expense Log</vt:lpstr>
      <vt:lpstr>Income Log</vt:lpstr>
      <vt:lpstr>Category Analysis</vt:lpstr>
      <vt:lpstr>Savings Goals</vt:lpstr>
      <vt:lpstr>Annual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Aarthi R</cp:lastModifiedBy>
  <dcterms:created xsi:type="dcterms:W3CDTF">2026-06-18T09:07:57Z</dcterms:created>
  <dcterms:modified xsi:type="dcterms:W3CDTF">2026-06-18T09:18:22Z</dcterms:modified>
</cp:coreProperties>
</file>