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Expense Log" sheetId="4" state="visible" r:id="rId4"/>
    <sheet xmlns:r="http://schemas.openxmlformats.org/officeDocument/2006/relationships" name="Income Log" sheetId="5" state="visible" r:id="rId5"/>
    <sheet xmlns:r="http://schemas.openxmlformats.org/officeDocument/2006/relationships" name="Category Analysis" sheetId="6" state="visible" r:id="rId6"/>
    <sheet xmlns:r="http://schemas.openxmlformats.org/officeDocument/2006/relationships" name="Savings Goals" sheetId="7" state="visible" r:id="rId7"/>
    <sheet xmlns:r="http://schemas.openxmlformats.org/officeDocument/2006/relationships" name="Annual Over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BDD7EE"/>
      <sz val="9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375623"/>
      <sz val="18"/>
    </font>
    <font>
      <name val="Calibri"/>
      <b val="1"/>
      <color rgb="009C0006"/>
      <sz val="18"/>
    </font>
    <font>
      <name val="Calibri"/>
      <b val="1"/>
      <color rgb="001F3864"/>
      <sz val="18"/>
    </font>
    <font>
      <name val="Calibri"/>
      <b val="1"/>
      <color rgb="007F6000"/>
      <sz val="18"/>
    </font>
    <font>
      <name val="Calibri"/>
      <b val="1"/>
      <color rgb="00FFFFFF"/>
      <sz val="9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color rgb="007F6000"/>
      <sz val="10"/>
    </font>
    <font>
      <name val="Calibri"/>
      <b val="1"/>
      <color rgb="00595959"/>
      <sz val="10"/>
    </font>
    <font>
      <name val="Calibri"/>
      <b val="1"/>
      <color rgb="00FFFFFF"/>
      <sz val="13"/>
    </font>
    <font>
      <name val="Calibri"/>
      <i val="1"/>
      <color rgb="007F6000"/>
      <sz val="9"/>
    </font>
    <font>
      <name val="Calibri"/>
      <i val="1"/>
      <color rgb="00375623"/>
      <sz val="9"/>
    </font>
    <font>
      <name val="Calibri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FCE4D6"/>
      </patternFill>
    </fill>
    <fill>
      <patternFill patternType="solid">
        <fgColor rgb="009C0006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4" fontId="9" fillId="7" borderId="0" applyAlignment="1" pivotButton="0" quotePrefix="0" xfId="0">
      <alignment horizontal="center" vertical="center"/>
    </xf>
    <xf numFmtId="4" fontId="10" fillId="9" borderId="0" applyAlignment="1" pivotButton="0" quotePrefix="0" xfId="0">
      <alignment horizontal="center" vertical="center"/>
    </xf>
    <xf numFmtId="4" fontId="11" fillId="11" borderId="0" applyAlignment="1" pivotButton="0" quotePrefix="0" xfId="0">
      <alignment horizontal="center" vertical="center"/>
    </xf>
    <xf numFmtId="164" fontId="12" fillId="12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center" vertical="center"/>
    </xf>
    <xf numFmtId="4" fontId="14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4" fontId="8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4" fontId="8" fillId="8" borderId="1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4" fontId="5" fillId="9" borderId="1" applyAlignment="1" pivotButton="0" quotePrefix="0" xfId="0">
      <alignment horizontal="center" vertical="center"/>
    </xf>
    <xf numFmtId="4" fontId="15" fillId="9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4" fontId="8" fillId="10" borderId="1" applyAlignment="1" pivotButton="0" quotePrefix="0" xfId="0">
      <alignment horizontal="center" vertical="center"/>
    </xf>
    <xf numFmtId="4" fontId="4" fillId="11" borderId="1" applyAlignment="1" pivotButton="0" quotePrefix="0" xfId="0">
      <alignment horizontal="center" vertical="center"/>
    </xf>
    <xf numFmtId="164" fontId="16" fillId="12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right" vertical="center"/>
    </xf>
    <xf numFmtId="4" fontId="18" fillId="10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6" fontId="0" fillId="5" borderId="1" pivotButton="0" quotePrefix="0" xfId="0"/>
    <xf numFmtId="0" fontId="0" fillId="5" borderId="1" pivotButton="0" quotePrefix="0" xfId="0"/>
    <xf numFmtId="4" fontId="0" fillId="5" borderId="1" pivotButton="0" quotePrefix="0" xfId="0"/>
    <xf numFmtId="166" fontId="0" fillId="6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7" fillId="8" borderId="0" applyAlignment="1" pivotButton="0" quotePrefix="0" xfId="0">
      <alignment horizontal="center" vertical="center"/>
    </xf>
    <xf numFmtId="4" fontId="18" fillId="8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center" vertical="center"/>
    </xf>
    <xf numFmtId="166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166" fontId="0" fillId="7" borderId="1" pivotButton="0" quotePrefix="0" xfId="0"/>
    <xf numFmtId="0" fontId="0" fillId="7" borderId="1" pivotButton="0" quotePrefix="0" xfId="0"/>
    <xf numFmtId="4" fontId="0" fillId="7" borderId="1" pivotButton="0" quotePrefix="0" xfId="0"/>
    <xf numFmtId="164" fontId="5" fillId="6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164" fontId="14" fillId="7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Income vs Expenses - 2024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'Dashboard'!$C$12:$C$23</f>
            </numRef>
          </val>
        </ser>
        <ser>
          <idx val="1"/>
          <order val="1"/>
          <tx>
            <strRef>
              <f>'Dashboard'!D11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'Dashboard'!$D$12:$D$23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Spending by Category - 2024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Analysis'!$B$5:$B$15</f>
            </numRef>
          </cat>
          <val>
            <numRef>
              <f>'Category Analysis'!$C$5:$C$15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Savings Trend - 2024</a:t>
            </a:r>
          </a:p>
        </rich>
      </tx>
    </title>
    <plotArea>
      <lineChart>
        <grouping val="standard"/>
        <ser>
          <idx val="0"/>
          <order val="0"/>
          <tx>
            <strRef>
              <f>'Annual Overview'!E4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Overview'!$B$5:$B$16</f>
            </numRef>
          </cat>
          <val>
            <numRef>
              <f>'Annual Overview'!$E$5:$E$16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27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C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8" customWidth="1" min="3" max="3"/>
    <col width="3" customWidth="1" min="4" max="4"/>
  </cols>
  <sheetData>
    <row r="1" ht="36" customHeight="1">
      <c r="B1" s="1" t="inlineStr">
        <is>
          <t>PERSONAL BUDGET TRACKER  |  2024</t>
        </is>
      </c>
    </row>
    <row r="2" ht="22" customHeight="1">
      <c r="B2" s="2" t="inlineStr">
        <is>
          <t>All totals update automatically when you log data in Expense Log or Income Log</t>
        </is>
      </c>
    </row>
    <row r="3" ht="8" customHeight="1">
      <c r="B3" s="3" t="n"/>
      <c r="C3" s="3" t="n"/>
    </row>
    <row r="4" ht="26" customHeight="1">
      <c r="B4" s="4" t="inlineStr">
        <is>
          <t>HOW THIS TRACKER WORKS</t>
        </is>
      </c>
    </row>
    <row r="5" ht="22" customHeight="1">
      <c r="B5" s="5" t="inlineStr">
        <is>
          <t>Step 1</t>
        </is>
      </c>
      <c r="C5" s="6" t="inlineStr">
        <is>
          <t>Open EXPENSE LOG. Add one row per expense: Date, Description, Category, Amount.</t>
        </is>
      </c>
    </row>
    <row r="6" ht="22" customHeight="1">
      <c r="B6" s="7" t="inlineStr">
        <is>
          <t>Step 2</t>
        </is>
      </c>
      <c r="C6" s="8" t="inlineStr">
        <is>
          <t>Open INCOME LOG. Add one row per payment received: Date, Description, Source, Amount.</t>
        </is>
      </c>
    </row>
    <row r="7" ht="22" customHeight="1">
      <c r="B7" s="5" t="inlineStr">
        <is>
          <t>Step 3</t>
        </is>
      </c>
      <c r="C7" s="6" t="inlineStr">
        <is>
          <t>That is all. Every other sheet calculates automatically from your log entries.</t>
        </is>
      </c>
    </row>
    <row r="8" ht="22" customHeight="1">
      <c r="B8" s="7" t="inlineStr">
        <is>
          <t>Step 4</t>
        </is>
      </c>
      <c r="C8" s="8" t="inlineStr">
        <is>
          <t>Check MONTHLY SUMMARY for income vs expenses per month - fully automatic.</t>
        </is>
      </c>
    </row>
    <row r="9" ht="22" customHeight="1">
      <c r="B9" s="5" t="inlineStr">
        <is>
          <t>Step 5</t>
        </is>
      </c>
      <c r="C9" s="6" t="inlineStr">
        <is>
          <t>Check CATEGORY ANALYSIS to see where your money goes.</t>
        </is>
      </c>
    </row>
    <row r="10" ht="22" customHeight="1">
      <c r="B10" s="7" t="inlineStr">
        <is>
          <t>Step 6</t>
        </is>
      </c>
      <c r="C10" s="8" t="inlineStr">
        <is>
          <t>Check DASHBOARD for a quick year-to-date health check.</t>
        </is>
      </c>
    </row>
    <row r="11" ht="8" customHeight="1">
      <c r="B11" s="3" t="n"/>
      <c r="C11" s="3" t="n"/>
    </row>
    <row r="12" ht="26" customHeight="1">
      <c r="B12" s="4" t="inlineStr">
        <is>
          <t>SHEETS IN THIS WORKBOOK</t>
        </is>
      </c>
    </row>
    <row r="13" ht="22" customHeight="1">
      <c r="B13" s="5" t="inlineStr">
        <is>
          <t>Guide</t>
        </is>
      </c>
      <c r="C13" s="6" t="inlineStr">
        <is>
          <t>This page.</t>
        </is>
      </c>
    </row>
    <row r="14" ht="22" customHeight="1">
      <c r="B14" s="7" t="inlineStr">
        <is>
          <t>Dashboard</t>
        </is>
      </c>
      <c r="C14" s="8" t="inlineStr">
        <is>
          <t>Live KPI cards - total income, expenses, savings, savings rate for the year.</t>
        </is>
      </c>
    </row>
    <row r="15" ht="22" customHeight="1">
      <c r="B15" s="5" t="inlineStr">
        <is>
          <t>Monthly Summary</t>
        </is>
      </c>
      <c r="C15" s="6" t="inlineStr">
        <is>
          <t>Income and expenses by month and category. SUMIFS formulas - add to logs and this updates.</t>
        </is>
      </c>
    </row>
    <row r="16" ht="22" customHeight="1">
      <c r="B16" s="7" t="inlineStr">
        <is>
          <t>Expense Log</t>
        </is>
      </c>
      <c r="C16" s="8" t="inlineStr">
        <is>
          <t>MAIN DATA ENTRY for expenses. Add a new row for every expense.</t>
        </is>
      </c>
    </row>
    <row r="17" ht="22" customHeight="1">
      <c r="B17" s="5" t="inlineStr">
        <is>
          <t>Income Log</t>
        </is>
      </c>
      <c r="C17" s="6" t="inlineStr">
        <is>
          <t>MAIN DATA ENTRY for income. Add a new row for every payment received.</t>
        </is>
      </c>
    </row>
    <row r="18" ht="22" customHeight="1">
      <c r="B18" s="7" t="inlineStr">
        <is>
          <t>Category Analysis</t>
        </is>
      </c>
      <c r="C18" s="8" t="inlineStr">
        <is>
          <t>Annual totals and % breakdown by spending category. Auto-calculated.</t>
        </is>
      </c>
    </row>
    <row r="19" ht="22" customHeight="1">
      <c r="B19" s="5" t="inlineStr">
        <is>
          <t>Savings Goals</t>
        </is>
      </c>
      <c r="C19" s="6" t="inlineStr">
        <is>
          <t>Set up to 10 goals. Update the Saved So Far column periodically.</t>
        </is>
      </c>
    </row>
    <row r="20" ht="22" customHeight="1">
      <c r="B20" s="7" t="inlineStr">
        <is>
          <t>Annual Overview</t>
        </is>
      </c>
      <c r="C20" s="8" t="inlineStr">
        <is>
          <t>Month-by-month totals, running savings balance, key stats.</t>
        </is>
      </c>
    </row>
    <row r="21" ht="8" customHeight="1">
      <c r="B21" s="3" t="n"/>
      <c r="C21" s="3" t="n"/>
    </row>
    <row r="22" ht="26" customHeight="1">
      <c r="B22" s="4" t="inlineStr">
        <is>
          <t>RULES</t>
        </is>
      </c>
    </row>
    <row r="23" ht="22" customHeight="1">
      <c r="B23" s="5" t="inlineStr">
        <is>
          <t>DO</t>
        </is>
      </c>
      <c r="C23" s="6" t="inlineStr">
        <is>
          <t>Enter data only in the WHITE cells in Expense Log and Income Log.</t>
        </is>
      </c>
    </row>
    <row r="24" ht="22" customHeight="1">
      <c r="B24" s="7" t="inlineStr">
        <is>
          <t>DO</t>
        </is>
      </c>
      <c r="C24" s="8" t="inlineStr">
        <is>
          <t>Use the dropdown lists for Category and Source - exact spelling is critical for formulas.</t>
        </is>
      </c>
    </row>
    <row r="25" ht="22" customHeight="1">
      <c r="B25" s="5" t="inlineStr">
        <is>
          <t>DO</t>
        </is>
      </c>
      <c r="C25" s="6" t="inlineStr">
        <is>
          <t>Enter dates in the format YYYY-MM-DD (example: 2024-01-15).</t>
        </is>
      </c>
    </row>
    <row r="26" ht="22" customHeight="1">
      <c r="B26" s="7" t="inlineStr">
        <is>
          <t>DO</t>
        </is>
      </c>
      <c r="C26" s="8" t="inlineStr">
        <is>
          <t>Save regularly with Ctrl + S. Keep a backup copy.</t>
        </is>
      </c>
    </row>
    <row r="27" ht="22" customHeight="1">
      <c r="B27" s="5" t="inlineStr">
        <is>
          <t>DO NOT</t>
        </is>
      </c>
      <c r="C27" s="6" t="inlineStr">
        <is>
          <t>Delete or rename any sheet tabs.</t>
        </is>
      </c>
    </row>
    <row r="28" ht="22" customHeight="1">
      <c r="B28" s="7" t="inlineStr">
        <is>
          <t>DO NOT</t>
        </is>
      </c>
      <c r="C28" s="8" t="inlineStr">
        <is>
          <t>Delete header rows (rows 1 to 4 on any sheet).</t>
        </is>
      </c>
    </row>
    <row r="29" ht="22" customHeight="1">
      <c r="B29" s="5" t="inlineStr">
        <is>
          <t>DO NOT</t>
        </is>
      </c>
      <c r="C29" s="6" t="inlineStr">
        <is>
          <t>Edit any coloured formula cells outside the log sheets.</t>
        </is>
      </c>
    </row>
    <row r="30" ht="8" customHeight="1">
      <c r="B30" s="3" t="n"/>
      <c r="C30" s="3" t="n"/>
    </row>
    <row r="31" ht="26" customHeight="1">
      <c r="B31" s="4" t="inlineStr">
        <is>
          <t>EXPENSE CATEGORIES - use exactly as shown below</t>
        </is>
      </c>
    </row>
    <row r="32" ht="22" customHeight="1">
      <c r="B32" s="7" t="inlineStr">
        <is>
          <t>Housing</t>
        </is>
      </c>
      <c r="C32" s="8" t="inlineStr">
        <is>
          <t>Enter this exact text in the Category column of Expense Log.</t>
        </is>
      </c>
    </row>
    <row r="33" ht="22" customHeight="1">
      <c r="B33" s="5" t="inlineStr">
        <is>
          <t>Food and Groceries</t>
        </is>
      </c>
      <c r="C33" s="6" t="inlineStr">
        <is>
          <t>Enter this exact text in the Category column of Expense Log.</t>
        </is>
      </c>
    </row>
    <row r="34" ht="22" customHeight="1">
      <c r="B34" s="7" t="inlineStr">
        <is>
          <t>Transport</t>
        </is>
      </c>
      <c r="C34" s="8" t="inlineStr">
        <is>
          <t>Enter this exact text in the Category column of Expense Log.</t>
        </is>
      </c>
    </row>
    <row r="35" ht="22" customHeight="1">
      <c r="B35" s="5" t="inlineStr">
        <is>
          <t>Health and Medical</t>
        </is>
      </c>
      <c r="C35" s="6" t="inlineStr">
        <is>
          <t>Enter this exact text in the Category column of Expense Log.</t>
        </is>
      </c>
    </row>
    <row r="36" ht="22" customHeight="1">
      <c r="B36" s="7" t="inlineStr">
        <is>
          <t>Education</t>
        </is>
      </c>
      <c r="C36" s="8" t="inlineStr">
        <is>
          <t>Enter this exact text in the Category column of Expense Log.</t>
        </is>
      </c>
    </row>
    <row r="37" ht="22" customHeight="1">
      <c r="B37" s="5" t="inlineStr">
        <is>
          <t>Shopping</t>
        </is>
      </c>
      <c r="C37" s="6" t="inlineStr">
        <is>
          <t>Enter this exact text in the Category column of Expense Log.</t>
        </is>
      </c>
    </row>
    <row r="38" ht="22" customHeight="1">
      <c r="B38" s="7" t="inlineStr">
        <is>
          <t>Subscriptions</t>
        </is>
      </c>
      <c r="C38" s="8" t="inlineStr">
        <is>
          <t>Enter this exact text in the Category column of Expense Log.</t>
        </is>
      </c>
    </row>
    <row r="39" ht="22" customHeight="1">
      <c r="B39" s="5" t="inlineStr">
        <is>
          <t>Entertainment</t>
        </is>
      </c>
      <c r="C39" s="6" t="inlineStr">
        <is>
          <t>Enter this exact text in the Category column of Expense Log.</t>
        </is>
      </c>
    </row>
    <row r="40" ht="22" customHeight="1">
      <c r="B40" s="7" t="inlineStr">
        <is>
          <t>Travel</t>
        </is>
      </c>
      <c r="C40" s="8" t="inlineStr">
        <is>
          <t>Enter this exact text in the Category column of Expense Log.</t>
        </is>
      </c>
    </row>
    <row r="41" ht="22" customHeight="1">
      <c r="B41" s="5" t="inlineStr">
        <is>
          <t>Savings and Investments</t>
        </is>
      </c>
      <c r="C41" s="6" t="inlineStr">
        <is>
          <t>Enter this exact text in the Category column of Expense Log.</t>
        </is>
      </c>
    </row>
    <row r="42" ht="22" customHeight="1">
      <c r="B42" s="7" t="inlineStr">
        <is>
          <t>Miscellaneous</t>
        </is>
      </c>
      <c r="C42" s="8" t="inlineStr">
        <is>
          <t>Enter this exact text in the Category column of Expense Log.</t>
        </is>
      </c>
    </row>
    <row r="43" ht="8" customHeight="1">
      <c r="B43" s="3" t="n"/>
      <c r="C43" s="3" t="n"/>
    </row>
    <row r="44" ht="26" customHeight="1">
      <c r="B44" s="4" t="inlineStr">
        <is>
          <t>INCOME SOURCES - use exactly as shown below</t>
        </is>
      </c>
    </row>
    <row r="45" ht="22" customHeight="1">
      <c r="B45" s="5" t="inlineStr">
        <is>
          <t>Salary</t>
        </is>
      </c>
      <c r="C45" s="6" t="inlineStr">
        <is>
          <t>Enter this exact text in the Source column of Income Log.</t>
        </is>
      </c>
    </row>
    <row r="46" ht="22" customHeight="1">
      <c r="B46" s="7" t="inlineStr">
        <is>
          <t>Freelance</t>
        </is>
      </c>
      <c r="C46" s="8" t="inlineStr">
        <is>
          <t>Enter this exact text in the Source column of Income Log.</t>
        </is>
      </c>
    </row>
    <row r="47" ht="22" customHeight="1">
      <c r="B47" s="5" t="inlineStr">
        <is>
          <t>Rental Income</t>
        </is>
      </c>
      <c r="C47" s="6" t="inlineStr">
        <is>
          <t>Enter this exact text in the Source column of Income Log.</t>
        </is>
      </c>
    </row>
    <row r="48" ht="22" customHeight="1">
      <c r="B48" s="7" t="inlineStr">
        <is>
          <t>Dividends</t>
        </is>
      </c>
      <c r="C48" s="8" t="inlineStr">
        <is>
          <t>Enter this exact text in the Source column of Income Log.</t>
        </is>
      </c>
    </row>
    <row r="49" ht="22" customHeight="1">
      <c r="B49" s="5" t="inlineStr">
        <is>
          <t>Bonus</t>
        </is>
      </c>
      <c r="C49" s="6" t="inlineStr">
        <is>
          <t>Enter this exact text in the Source column of Income Log.</t>
        </is>
      </c>
    </row>
    <row r="50" ht="22" customHeight="1">
      <c r="B50" s="7" t="inlineStr">
        <is>
          <t>Other Income</t>
        </is>
      </c>
      <c r="C50" s="8" t="inlineStr">
        <is>
          <t>Enter this exact text in the Source column of Income Log.</t>
        </is>
      </c>
    </row>
    <row r="51" ht="8" customHeight="1">
      <c r="B51" s="3" t="n"/>
      <c r="C51" s="3" t="n"/>
    </row>
    <row r="52" ht="26" customHeight="1">
      <c r="B52" s="4" t="inlineStr">
        <is>
          <t>TIPS</t>
        </is>
      </c>
    </row>
    <row r="53" ht="22" customHeight="1">
      <c r="B53" s="5" t="inlineStr">
        <is>
          <t>Tip 1</t>
        </is>
      </c>
      <c r="C53" s="6" t="inlineStr">
        <is>
          <t>Log expenses daily - 2 minutes a day prevents hours of catching up later.</t>
        </is>
      </c>
    </row>
    <row r="54" ht="22" customHeight="1">
      <c r="B54" s="7" t="inlineStr">
        <is>
          <t>Tip 2</t>
        </is>
      </c>
      <c r="C54" s="8" t="inlineStr">
        <is>
          <t>Check Category Analysis every month to spot overspending.</t>
        </is>
      </c>
    </row>
    <row r="55" ht="22" customHeight="1">
      <c r="B55" s="5" t="inlineStr">
        <is>
          <t>Tip 3</t>
        </is>
      </c>
      <c r="C55" s="6" t="inlineStr">
        <is>
          <t>Set Emergency Fund as your first savings goal. Target 3 to 6 months of expenses.</t>
        </is>
      </c>
    </row>
    <row r="56" ht="20" customHeight="1">
      <c r="B56" s="9" t="inlineStr">
        <is>
          <t>Budget Tracker v2  |  2024  |  Data entry only in Expense Log and Income Log</t>
        </is>
      </c>
    </row>
  </sheetData>
  <mergeCells count="9">
    <mergeCell ref="B52:C52"/>
    <mergeCell ref="B44:C44"/>
    <mergeCell ref="B2:C2"/>
    <mergeCell ref="B22:C22"/>
    <mergeCell ref="B31:C31"/>
    <mergeCell ref="B56:C56"/>
    <mergeCell ref="B1:C1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1:E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" customWidth="1" min="6" max="6"/>
  </cols>
  <sheetData>
    <row r="1" ht="36" customHeight="1">
      <c r="B1" s="10" t="inlineStr">
        <is>
          <t>BUDGET DASHBOARD  |  2024</t>
        </is>
      </c>
    </row>
    <row r="2" ht="20" customHeight="1">
      <c r="B2" s="2" t="inlineStr">
        <is>
          <t>All figures are year-to-date, calculated live from Expense Log and Income Log</t>
        </is>
      </c>
    </row>
    <row r="3" ht="12" customHeight="1"/>
    <row r="4" ht="18" customHeight="1">
      <c r="B4" s="11" t="inlineStr">
        <is>
          <t>Total Income (YTD)</t>
        </is>
      </c>
      <c r="C4" s="12" t="inlineStr">
        <is>
          <t>Total Expenses (YTD)</t>
        </is>
      </c>
      <c r="D4" s="13" t="inlineStr">
        <is>
          <t>Net Savings (YTD)</t>
        </is>
      </c>
      <c r="E4" s="14" t="inlineStr">
        <is>
          <t>Savings Rate</t>
        </is>
      </c>
    </row>
    <row r="5" ht="18" customHeight="1"/>
    <row r="6" ht="18" customHeight="1">
      <c r="B6" s="15">
        <f>SUMIFS('Income Log'!$E:$E,'Income Log'!$B:$B,"&gt;="&amp;DATE(2024,1,1),'Income Log'!$B:$B,"&lt;"&amp;DATE(2025,1,1))</f>
        <v/>
      </c>
      <c r="C6" s="16">
        <f>SUMIFS('Expense Log'!$E:$E,'Expense Log'!$B:$B,"&gt;="&amp;DATE(2024,1,1),'Expense Log'!$B:$B,"&lt;"&amp;DATE(2025,1,1))</f>
        <v/>
      </c>
      <c r="D6" s="17">
        <f>SUMIFS('Income Log'!$E:$E,'Income Log'!$B:$B,"&gt;="&amp;DATE(2024,1,1),'Income Log'!$B:$B,"&lt;"&amp;DATE(2025,1,1))-SUMIFS('Expense Log'!$E:$E,'Expense Log'!$B:$B,"&gt;="&amp;DATE(2024,1,1),'Expense Log'!$B:$B,"&lt;"&amp;DATE(2025,1,1))</f>
        <v/>
      </c>
      <c r="E6" s="18">
        <f>IF(SUMIFS('Income Log'!$E:$E,'Income Log'!$B:$B,"&gt;="&amp;DATE(2024,1,1),'Income Log'!$B:$B,"&lt;"&amp;DATE(2025,1,1))=0,0,(SUMIFS('Income Log'!$E:$E,'Income Log'!$B:$B,"&gt;="&amp;DATE(2024,1,1),'Income Log'!$B:$B,"&lt;"&amp;DATE(2025,1,1))-SUMIFS('Expense Log'!$E:$E,'Expense Log'!$B:$B,"&gt;="&amp;DATE(2024,1,1),'Expense Log'!$B:$B,"&lt;"&amp;DATE(2025,1,1)))/SUMIFS('Income Log'!$E:$E,'Income Log'!$B:$B,"&gt;="&amp;DATE(2024,1,1),'Income Log'!$B:$B,"&lt;"&amp;DATE(2025,1,1)))</f>
        <v/>
      </c>
    </row>
    <row r="7" ht="18" customHeight="1"/>
    <row r="8" ht="18" customHeight="1"/>
    <row r="9" ht="12" customHeight="1"/>
    <row r="10" ht="24" customHeight="1">
      <c r="B10" s="4" t="inlineStr">
        <is>
          <t xml:space="preserve">  MONTHLY BREAKDOWN  (auto-calculated)</t>
        </is>
      </c>
    </row>
    <row r="11" ht="20" customHeight="1">
      <c r="B11" s="19" t="inlineStr">
        <is>
          <t>Month</t>
        </is>
      </c>
      <c r="C11" s="19" t="inlineStr">
        <is>
          <t>Income</t>
        </is>
      </c>
      <c r="D11" s="19" t="inlineStr">
        <is>
          <t>Expenses</t>
        </is>
      </c>
      <c r="E11" s="19" t="inlineStr">
        <is>
          <t>Net Savings</t>
        </is>
      </c>
    </row>
    <row r="12" ht="20" customHeight="1">
      <c r="B12" s="20" t="inlineStr">
        <is>
          <t>January</t>
        </is>
      </c>
      <c r="C12" s="21">
        <f>SUMIFS('Income Log'!$E:$E,'Income Log'!$B:$B,"&gt;="&amp;DATE(2024,1,1),'Income Log'!$B:$B,"&lt;"&amp;DATE(2024,2,1))</f>
        <v/>
      </c>
      <c r="D12" s="21">
        <f>SUMIFS('Expense Log'!$E:$E,'Expense Log'!$B:$B,"&gt;="&amp;DATE(2024,1,1),'Expense Log'!$B:$B,"&lt;"&amp;DATE(2024,2,1))</f>
        <v/>
      </c>
      <c r="E12" s="22">
        <f>C12-D12</f>
        <v/>
      </c>
    </row>
    <row r="13" ht="20" customHeight="1">
      <c r="B13" s="23" t="inlineStr">
        <is>
          <t>February</t>
        </is>
      </c>
      <c r="C13" s="24">
        <f>SUMIFS('Income Log'!$E:$E,'Income Log'!$B:$B,"&gt;="&amp;DATE(2024,2,1),'Income Log'!$B:$B,"&lt;"&amp;DATE(2024,3,1))</f>
        <v/>
      </c>
      <c r="D13" s="24">
        <f>SUMIFS('Expense Log'!$E:$E,'Expense Log'!$B:$B,"&gt;="&amp;DATE(2024,2,1),'Expense Log'!$B:$B,"&lt;"&amp;DATE(2024,3,1))</f>
        <v/>
      </c>
      <c r="E13" s="22">
        <f>C13-D13</f>
        <v/>
      </c>
    </row>
    <row r="14" ht="20" customHeight="1">
      <c r="B14" s="20" t="inlineStr">
        <is>
          <t>March</t>
        </is>
      </c>
      <c r="C14" s="21">
        <f>SUMIFS('Income Log'!$E:$E,'Income Log'!$B:$B,"&gt;="&amp;DATE(2024,3,1),'Income Log'!$B:$B,"&lt;"&amp;DATE(2024,4,1))</f>
        <v/>
      </c>
      <c r="D14" s="21">
        <f>SUMIFS('Expense Log'!$E:$E,'Expense Log'!$B:$B,"&gt;="&amp;DATE(2024,3,1),'Expense Log'!$B:$B,"&lt;"&amp;DATE(2024,4,1))</f>
        <v/>
      </c>
      <c r="E14" s="22">
        <f>C14-D14</f>
        <v/>
      </c>
    </row>
    <row r="15" ht="20" customHeight="1">
      <c r="B15" s="23" t="inlineStr">
        <is>
          <t>April</t>
        </is>
      </c>
      <c r="C15" s="24">
        <f>SUMIFS('Income Log'!$E:$E,'Income Log'!$B:$B,"&gt;="&amp;DATE(2024,4,1),'Income Log'!$B:$B,"&lt;"&amp;DATE(2024,5,1))</f>
        <v/>
      </c>
      <c r="D15" s="24">
        <f>SUMIFS('Expense Log'!$E:$E,'Expense Log'!$B:$B,"&gt;="&amp;DATE(2024,4,1),'Expense Log'!$B:$B,"&lt;"&amp;DATE(2024,5,1))</f>
        <v/>
      </c>
      <c r="E15" s="22">
        <f>C15-D15</f>
        <v/>
      </c>
    </row>
    <row r="16" ht="20" customHeight="1">
      <c r="B16" s="20" t="inlineStr">
        <is>
          <t>May</t>
        </is>
      </c>
      <c r="C16" s="21">
        <f>SUMIFS('Income Log'!$E:$E,'Income Log'!$B:$B,"&gt;="&amp;DATE(2024,5,1),'Income Log'!$B:$B,"&lt;"&amp;DATE(2024,6,1))</f>
        <v/>
      </c>
      <c r="D16" s="21">
        <f>SUMIFS('Expense Log'!$E:$E,'Expense Log'!$B:$B,"&gt;="&amp;DATE(2024,5,1),'Expense Log'!$B:$B,"&lt;"&amp;DATE(2024,6,1))</f>
        <v/>
      </c>
      <c r="E16" s="22">
        <f>C16-D16</f>
        <v/>
      </c>
    </row>
    <row r="17" ht="20" customHeight="1">
      <c r="B17" s="23" t="inlineStr">
        <is>
          <t>June</t>
        </is>
      </c>
      <c r="C17" s="24">
        <f>SUMIFS('Income Log'!$E:$E,'Income Log'!$B:$B,"&gt;="&amp;DATE(2024,6,1),'Income Log'!$B:$B,"&lt;"&amp;DATE(2024,7,1))</f>
        <v/>
      </c>
      <c r="D17" s="24">
        <f>SUMIFS('Expense Log'!$E:$E,'Expense Log'!$B:$B,"&gt;="&amp;DATE(2024,6,1),'Expense Log'!$B:$B,"&lt;"&amp;DATE(2024,7,1))</f>
        <v/>
      </c>
      <c r="E17" s="22">
        <f>C17-D17</f>
        <v/>
      </c>
    </row>
    <row r="18" ht="20" customHeight="1">
      <c r="B18" s="20" t="inlineStr">
        <is>
          <t>July</t>
        </is>
      </c>
      <c r="C18" s="21">
        <f>SUMIFS('Income Log'!$E:$E,'Income Log'!$B:$B,"&gt;="&amp;DATE(2024,7,1),'Income Log'!$B:$B,"&lt;"&amp;DATE(2024,8,1))</f>
        <v/>
      </c>
      <c r="D18" s="21">
        <f>SUMIFS('Expense Log'!$E:$E,'Expense Log'!$B:$B,"&gt;="&amp;DATE(2024,7,1),'Expense Log'!$B:$B,"&lt;"&amp;DATE(2024,8,1))</f>
        <v/>
      </c>
      <c r="E18" s="22">
        <f>C18-D18</f>
        <v/>
      </c>
    </row>
    <row r="19" ht="20" customHeight="1">
      <c r="B19" s="23" t="inlineStr">
        <is>
          <t>August</t>
        </is>
      </c>
      <c r="C19" s="24">
        <f>SUMIFS('Income Log'!$E:$E,'Income Log'!$B:$B,"&gt;="&amp;DATE(2024,8,1),'Income Log'!$B:$B,"&lt;"&amp;DATE(2024,9,1))</f>
        <v/>
      </c>
      <c r="D19" s="24">
        <f>SUMIFS('Expense Log'!$E:$E,'Expense Log'!$B:$B,"&gt;="&amp;DATE(2024,8,1),'Expense Log'!$B:$B,"&lt;"&amp;DATE(2024,9,1))</f>
        <v/>
      </c>
      <c r="E19" s="22">
        <f>C19-D19</f>
        <v/>
      </c>
    </row>
    <row r="20" ht="20" customHeight="1">
      <c r="B20" s="20" t="inlineStr">
        <is>
          <t>September</t>
        </is>
      </c>
      <c r="C20" s="21">
        <f>SUMIFS('Income Log'!$E:$E,'Income Log'!$B:$B,"&gt;="&amp;DATE(2024,9,1),'Income Log'!$B:$B,"&lt;"&amp;DATE(2024,10,1))</f>
        <v/>
      </c>
      <c r="D20" s="21">
        <f>SUMIFS('Expense Log'!$E:$E,'Expense Log'!$B:$B,"&gt;="&amp;DATE(2024,9,1),'Expense Log'!$B:$B,"&lt;"&amp;DATE(2024,10,1))</f>
        <v/>
      </c>
      <c r="E20" s="22">
        <f>C20-D20</f>
        <v/>
      </c>
    </row>
    <row r="21" ht="20" customHeight="1">
      <c r="B21" s="23" t="inlineStr">
        <is>
          <t>October</t>
        </is>
      </c>
      <c r="C21" s="24">
        <f>SUMIFS('Income Log'!$E:$E,'Income Log'!$B:$B,"&gt;="&amp;DATE(2024,10,1),'Income Log'!$B:$B,"&lt;"&amp;DATE(2024,11,1))</f>
        <v/>
      </c>
      <c r="D21" s="24">
        <f>SUMIFS('Expense Log'!$E:$E,'Expense Log'!$B:$B,"&gt;="&amp;DATE(2024,10,1),'Expense Log'!$B:$B,"&lt;"&amp;DATE(2024,11,1))</f>
        <v/>
      </c>
      <c r="E21" s="22">
        <f>C21-D21</f>
        <v/>
      </c>
    </row>
    <row r="22" ht="20" customHeight="1">
      <c r="B22" s="20" t="inlineStr">
        <is>
          <t>November</t>
        </is>
      </c>
      <c r="C22" s="21">
        <f>SUMIFS('Income Log'!$E:$E,'Income Log'!$B:$B,"&gt;="&amp;DATE(2024,11,1),'Income Log'!$B:$B,"&lt;"&amp;DATE(2024,12,1))</f>
        <v/>
      </c>
      <c r="D22" s="21">
        <f>SUMIFS('Expense Log'!$E:$E,'Expense Log'!$B:$B,"&gt;="&amp;DATE(2024,11,1),'Expense Log'!$B:$B,"&lt;"&amp;DATE(2024,12,1))</f>
        <v/>
      </c>
      <c r="E22" s="22">
        <f>C22-D22</f>
        <v/>
      </c>
    </row>
    <row r="23" ht="20" customHeight="1">
      <c r="B23" s="23" t="inlineStr">
        <is>
          <t>December</t>
        </is>
      </c>
      <c r="C23" s="24">
        <f>SUMIFS('Income Log'!$E:$E,'Income Log'!$B:$B,"&gt;="&amp;DATE(2024,12,1),'Income Log'!$B:$B,"&lt;"&amp;DATE(2025,1,1))</f>
        <v/>
      </c>
      <c r="D23" s="24">
        <f>SUMIFS('Expense Log'!$E:$E,'Expense Log'!$B:$B,"&gt;="&amp;DATE(2024,12,1),'Expense Log'!$B:$B,"&lt;"&amp;DATE(2025,1,1))</f>
        <v/>
      </c>
      <c r="E23" s="22">
        <f>C23-D23</f>
        <v/>
      </c>
    </row>
    <row r="24" ht="22" customHeight="1">
      <c r="B24" s="25" t="inlineStr">
        <is>
          <t>ANNUAL TOTAL</t>
        </is>
      </c>
      <c r="C24" s="26">
        <f>SUM(C12:C23)</f>
        <v/>
      </c>
      <c r="D24" s="26">
        <f>SUM(D12:D23)</f>
        <v/>
      </c>
      <c r="E24" s="26">
        <f>SUM(E12:E23)</f>
        <v/>
      </c>
    </row>
    <row r="25" ht="12" customHeight="1"/>
  </sheetData>
  <mergeCells count="11">
    <mergeCell ref="B1:E1"/>
    <mergeCell ref="B4:B5"/>
    <mergeCell ref="C4:C5"/>
    <mergeCell ref="D4:D5"/>
    <mergeCell ref="E4:E5"/>
    <mergeCell ref="B2:E2"/>
    <mergeCell ref="B10:E10"/>
    <mergeCell ref="C6:C8"/>
    <mergeCell ref="D6:D8"/>
    <mergeCell ref="B6:B8"/>
    <mergeCell ref="E6:E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B1:O3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2" customWidth="1" min="16" max="16"/>
  </cols>
  <sheetData>
    <row r="1" ht="36" customHeight="1">
      <c r="B1" s="10" t="inlineStr">
        <is>
          <t>MONTHLY SUMMARY  |  2024  -  Adds up automatically from Expense Log and Income Log</t>
        </is>
      </c>
    </row>
    <row r="2" ht="28" customHeight="1">
      <c r="B2" s="27" t="inlineStr">
        <is>
          <t>Add rows to Expense Log or Income Log and this sheet updates instantly. Do not type in any coloured cell here.</t>
        </is>
      </c>
    </row>
    <row r="3" ht="10" customHeight="1"/>
    <row r="4" ht="24" customHeight="1">
      <c r="B4" s="28" t="inlineStr">
        <is>
          <t xml:space="preserve">  INCOME  -  add rows to Income Log to update</t>
        </is>
      </c>
    </row>
    <row r="5" ht="20" customHeight="1">
      <c r="B5" s="29" t="inlineStr">
        <is>
          <t>Income Source</t>
        </is>
      </c>
      <c r="C5" s="29" t="inlineStr">
        <is>
          <t>Jan</t>
        </is>
      </c>
      <c r="D5" s="29" t="inlineStr">
        <is>
          <t>Feb</t>
        </is>
      </c>
      <c r="E5" s="29" t="inlineStr">
        <is>
          <t>Mar</t>
        </is>
      </c>
      <c r="F5" s="29" t="inlineStr">
        <is>
          <t>Apr</t>
        </is>
      </c>
      <c r="G5" s="29" t="inlineStr">
        <is>
          <t>May</t>
        </is>
      </c>
      <c r="H5" s="29" t="inlineStr">
        <is>
          <t>Jun</t>
        </is>
      </c>
      <c r="I5" s="29" t="inlineStr">
        <is>
          <t>Jul</t>
        </is>
      </c>
      <c r="J5" s="29" t="inlineStr">
        <is>
          <t>Aug</t>
        </is>
      </c>
      <c r="K5" s="29" t="inlineStr">
        <is>
          <t>Sep</t>
        </is>
      </c>
      <c r="L5" s="29" t="inlineStr">
        <is>
          <t>Oct</t>
        </is>
      </c>
      <c r="M5" s="29" t="inlineStr">
        <is>
          <t>Nov</t>
        </is>
      </c>
      <c r="N5" s="29" t="inlineStr">
        <is>
          <t>Dec</t>
        </is>
      </c>
      <c r="O5" s="29" t="inlineStr">
        <is>
          <t>Annual Total</t>
        </is>
      </c>
    </row>
    <row r="6" ht="20" customHeight="1">
      <c r="B6" s="30" t="inlineStr">
        <is>
          <t>Salary</t>
        </is>
      </c>
      <c r="C6" s="31">
        <f>SUMIFS('Income Log'!$E:$E,'Income Log'!$D:$D,"Salary",'Income Log'!$B:$B,"&gt;="&amp;DATE(2024,1,1),'Income Log'!$B:$B,"&lt;"&amp;DATE(2024,2,1))</f>
        <v/>
      </c>
      <c r="D6" s="31">
        <f>SUMIFS('Income Log'!$E:$E,'Income Log'!$D:$D,"Salary",'Income Log'!$B:$B,"&gt;="&amp;DATE(2024,2,1),'Income Log'!$B:$B,"&lt;"&amp;DATE(2024,3,1))</f>
        <v/>
      </c>
      <c r="E6" s="31">
        <f>SUMIFS('Income Log'!$E:$E,'Income Log'!$D:$D,"Salary",'Income Log'!$B:$B,"&gt;="&amp;DATE(2024,3,1),'Income Log'!$B:$B,"&lt;"&amp;DATE(2024,4,1))</f>
        <v/>
      </c>
      <c r="F6" s="31">
        <f>SUMIFS('Income Log'!$E:$E,'Income Log'!$D:$D,"Salary",'Income Log'!$B:$B,"&gt;="&amp;DATE(2024,4,1),'Income Log'!$B:$B,"&lt;"&amp;DATE(2024,5,1))</f>
        <v/>
      </c>
      <c r="G6" s="31">
        <f>SUMIFS('Income Log'!$E:$E,'Income Log'!$D:$D,"Salary",'Income Log'!$B:$B,"&gt;="&amp;DATE(2024,5,1),'Income Log'!$B:$B,"&lt;"&amp;DATE(2024,6,1))</f>
        <v/>
      </c>
      <c r="H6" s="31">
        <f>SUMIFS('Income Log'!$E:$E,'Income Log'!$D:$D,"Salary",'Income Log'!$B:$B,"&gt;="&amp;DATE(2024,6,1),'Income Log'!$B:$B,"&lt;"&amp;DATE(2024,7,1))</f>
        <v/>
      </c>
      <c r="I6" s="31">
        <f>SUMIFS('Income Log'!$E:$E,'Income Log'!$D:$D,"Salary",'Income Log'!$B:$B,"&gt;="&amp;DATE(2024,7,1),'Income Log'!$B:$B,"&lt;"&amp;DATE(2024,8,1))</f>
        <v/>
      </c>
      <c r="J6" s="31">
        <f>SUMIFS('Income Log'!$E:$E,'Income Log'!$D:$D,"Salary",'Income Log'!$B:$B,"&gt;="&amp;DATE(2024,8,1),'Income Log'!$B:$B,"&lt;"&amp;DATE(2024,9,1))</f>
        <v/>
      </c>
      <c r="K6" s="31">
        <f>SUMIFS('Income Log'!$E:$E,'Income Log'!$D:$D,"Salary",'Income Log'!$B:$B,"&gt;="&amp;DATE(2024,9,1),'Income Log'!$B:$B,"&lt;"&amp;DATE(2024,10,1))</f>
        <v/>
      </c>
      <c r="L6" s="31">
        <f>SUMIFS('Income Log'!$E:$E,'Income Log'!$D:$D,"Salary",'Income Log'!$B:$B,"&gt;="&amp;DATE(2024,10,1),'Income Log'!$B:$B,"&lt;"&amp;DATE(2024,11,1))</f>
        <v/>
      </c>
      <c r="M6" s="31">
        <f>SUMIFS('Income Log'!$E:$E,'Income Log'!$D:$D,"Salary",'Income Log'!$B:$B,"&gt;="&amp;DATE(2024,11,1),'Income Log'!$B:$B,"&lt;"&amp;DATE(2024,12,1))</f>
        <v/>
      </c>
      <c r="N6" s="31">
        <f>SUMIFS('Income Log'!$E:$E,'Income Log'!$D:$D,"Salary",'Income Log'!$B:$B,"&gt;="&amp;DATE(2024,12,1),'Income Log'!$B:$B,"&lt;"&amp;DATE(2025,1,1))</f>
        <v/>
      </c>
      <c r="O6" s="22">
        <f>SUM(C6:N6)</f>
        <v/>
      </c>
    </row>
    <row r="7" ht="20" customHeight="1">
      <c r="B7" s="32" t="inlineStr">
        <is>
          <t>Freelance</t>
        </is>
      </c>
      <c r="C7" s="24">
        <f>SUMIFS('Income Log'!$E:$E,'Income Log'!$D:$D,"Freelance",'Income Log'!$B:$B,"&gt;="&amp;DATE(2024,1,1),'Income Log'!$B:$B,"&lt;"&amp;DATE(2024,2,1))</f>
        <v/>
      </c>
      <c r="D7" s="24">
        <f>SUMIFS('Income Log'!$E:$E,'Income Log'!$D:$D,"Freelance",'Income Log'!$B:$B,"&gt;="&amp;DATE(2024,2,1),'Income Log'!$B:$B,"&lt;"&amp;DATE(2024,3,1))</f>
        <v/>
      </c>
      <c r="E7" s="24">
        <f>SUMIFS('Income Log'!$E:$E,'Income Log'!$D:$D,"Freelance",'Income Log'!$B:$B,"&gt;="&amp;DATE(2024,3,1),'Income Log'!$B:$B,"&lt;"&amp;DATE(2024,4,1))</f>
        <v/>
      </c>
      <c r="F7" s="24">
        <f>SUMIFS('Income Log'!$E:$E,'Income Log'!$D:$D,"Freelance",'Income Log'!$B:$B,"&gt;="&amp;DATE(2024,4,1),'Income Log'!$B:$B,"&lt;"&amp;DATE(2024,5,1))</f>
        <v/>
      </c>
      <c r="G7" s="24">
        <f>SUMIFS('Income Log'!$E:$E,'Income Log'!$D:$D,"Freelance",'Income Log'!$B:$B,"&gt;="&amp;DATE(2024,5,1),'Income Log'!$B:$B,"&lt;"&amp;DATE(2024,6,1))</f>
        <v/>
      </c>
      <c r="H7" s="24">
        <f>SUMIFS('Income Log'!$E:$E,'Income Log'!$D:$D,"Freelance",'Income Log'!$B:$B,"&gt;="&amp;DATE(2024,6,1),'Income Log'!$B:$B,"&lt;"&amp;DATE(2024,7,1))</f>
        <v/>
      </c>
      <c r="I7" s="24">
        <f>SUMIFS('Income Log'!$E:$E,'Income Log'!$D:$D,"Freelance",'Income Log'!$B:$B,"&gt;="&amp;DATE(2024,7,1),'Income Log'!$B:$B,"&lt;"&amp;DATE(2024,8,1))</f>
        <v/>
      </c>
      <c r="J7" s="24">
        <f>SUMIFS('Income Log'!$E:$E,'Income Log'!$D:$D,"Freelance",'Income Log'!$B:$B,"&gt;="&amp;DATE(2024,8,1),'Income Log'!$B:$B,"&lt;"&amp;DATE(2024,9,1))</f>
        <v/>
      </c>
      <c r="K7" s="24">
        <f>SUMIFS('Income Log'!$E:$E,'Income Log'!$D:$D,"Freelance",'Income Log'!$B:$B,"&gt;="&amp;DATE(2024,9,1),'Income Log'!$B:$B,"&lt;"&amp;DATE(2024,10,1))</f>
        <v/>
      </c>
      <c r="L7" s="24">
        <f>SUMIFS('Income Log'!$E:$E,'Income Log'!$D:$D,"Freelance",'Income Log'!$B:$B,"&gt;="&amp;DATE(2024,10,1),'Income Log'!$B:$B,"&lt;"&amp;DATE(2024,11,1))</f>
        <v/>
      </c>
      <c r="M7" s="24">
        <f>SUMIFS('Income Log'!$E:$E,'Income Log'!$D:$D,"Freelance",'Income Log'!$B:$B,"&gt;="&amp;DATE(2024,11,1),'Income Log'!$B:$B,"&lt;"&amp;DATE(2024,12,1))</f>
        <v/>
      </c>
      <c r="N7" s="24">
        <f>SUMIFS('Income Log'!$E:$E,'Income Log'!$D:$D,"Freelance",'Income Log'!$B:$B,"&gt;="&amp;DATE(2024,12,1),'Income Log'!$B:$B,"&lt;"&amp;DATE(2025,1,1))</f>
        <v/>
      </c>
      <c r="O7" s="22">
        <f>SUM(C7:N7)</f>
        <v/>
      </c>
    </row>
    <row r="8" ht="20" customHeight="1">
      <c r="B8" s="30" t="inlineStr">
        <is>
          <t>Rental Income</t>
        </is>
      </c>
      <c r="C8" s="31">
        <f>SUMIFS('Income Log'!$E:$E,'Income Log'!$D:$D,"Rental Income",'Income Log'!$B:$B,"&gt;="&amp;DATE(2024,1,1),'Income Log'!$B:$B,"&lt;"&amp;DATE(2024,2,1))</f>
        <v/>
      </c>
      <c r="D8" s="31">
        <f>SUMIFS('Income Log'!$E:$E,'Income Log'!$D:$D,"Rental Income",'Income Log'!$B:$B,"&gt;="&amp;DATE(2024,2,1),'Income Log'!$B:$B,"&lt;"&amp;DATE(2024,3,1))</f>
        <v/>
      </c>
      <c r="E8" s="31">
        <f>SUMIFS('Income Log'!$E:$E,'Income Log'!$D:$D,"Rental Income",'Income Log'!$B:$B,"&gt;="&amp;DATE(2024,3,1),'Income Log'!$B:$B,"&lt;"&amp;DATE(2024,4,1))</f>
        <v/>
      </c>
      <c r="F8" s="31">
        <f>SUMIFS('Income Log'!$E:$E,'Income Log'!$D:$D,"Rental Income",'Income Log'!$B:$B,"&gt;="&amp;DATE(2024,4,1),'Income Log'!$B:$B,"&lt;"&amp;DATE(2024,5,1))</f>
        <v/>
      </c>
      <c r="G8" s="31">
        <f>SUMIFS('Income Log'!$E:$E,'Income Log'!$D:$D,"Rental Income",'Income Log'!$B:$B,"&gt;="&amp;DATE(2024,5,1),'Income Log'!$B:$B,"&lt;"&amp;DATE(2024,6,1))</f>
        <v/>
      </c>
      <c r="H8" s="31">
        <f>SUMIFS('Income Log'!$E:$E,'Income Log'!$D:$D,"Rental Income",'Income Log'!$B:$B,"&gt;="&amp;DATE(2024,6,1),'Income Log'!$B:$B,"&lt;"&amp;DATE(2024,7,1))</f>
        <v/>
      </c>
      <c r="I8" s="31">
        <f>SUMIFS('Income Log'!$E:$E,'Income Log'!$D:$D,"Rental Income",'Income Log'!$B:$B,"&gt;="&amp;DATE(2024,7,1),'Income Log'!$B:$B,"&lt;"&amp;DATE(2024,8,1))</f>
        <v/>
      </c>
      <c r="J8" s="31">
        <f>SUMIFS('Income Log'!$E:$E,'Income Log'!$D:$D,"Rental Income",'Income Log'!$B:$B,"&gt;="&amp;DATE(2024,8,1),'Income Log'!$B:$B,"&lt;"&amp;DATE(2024,9,1))</f>
        <v/>
      </c>
      <c r="K8" s="31">
        <f>SUMIFS('Income Log'!$E:$E,'Income Log'!$D:$D,"Rental Income",'Income Log'!$B:$B,"&gt;="&amp;DATE(2024,9,1),'Income Log'!$B:$B,"&lt;"&amp;DATE(2024,10,1))</f>
        <v/>
      </c>
      <c r="L8" s="31">
        <f>SUMIFS('Income Log'!$E:$E,'Income Log'!$D:$D,"Rental Income",'Income Log'!$B:$B,"&gt;="&amp;DATE(2024,10,1),'Income Log'!$B:$B,"&lt;"&amp;DATE(2024,11,1))</f>
        <v/>
      </c>
      <c r="M8" s="31">
        <f>SUMIFS('Income Log'!$E:$E,'Income Log'!$D:$D,"Rental Income",'Income Log'!$B:$B,"&gt;="&amp;DATE(2024,11,1),'Income Log'!$B:$B,"&lt;"&amp;DATE(2024,12,1))</f>
        <v/>
      </c>
      <c r="N8" s="31">
        <f>SUMIFS('Income Log'!$E:$E,'Income Log'!$D:$D,"Rental Income",'Income Log'!$B:$B,"&gt;="&amp;DATE(2024,12,1),'Income Log'!$B:$B,"&lt;"&amp;DATE(2025,1,1))</f>
        <v/>
      </c>
      <c r="O8" s="22">
        <f>SUM(C8:N8)</f>
        <v/>
      </c>
    </row>
    <row r="9" ht="20" customHeight="1">
      <c r="B9" s="32" t="inlineStr">
        <is>
          <t>Dividends</t>
        </is>
      </c>
      <c r="C9" s="24">
        <f>SUMIFS('Income Log'!$E:$E,'Income Log'!$D:$D,"Dividends",'Income Log'!$B:$B,"&gt;="&amp;DATE(2024,1,1),'Income Log'!$B:$B,"&lt;"&amp;DATE(2024,2,1))</f>
        <v/>
      </c>
      <c r="D9" s="24">
        <f>SUMIFS('Income Log'!$E:$E,'Income Log'!$D:$D,"Dividends",'Income Log'!$B:$B,"&gt;="&amp;DATE(2024,2,1),'Income Log'!$B:$B,"&lt;"&amp;DATE(2024,3,1))</f>
        <v/>
      </c>
      <c r="E9" s="24">
        <f>SUMIFS('Income Log'!$E:$E,'Income Log'!$D:$D,"Dividends",'Income Log'!$B:$B,"&gt;="&amp;DATE(2024,3,1),'Income Log'!$B:$B,"&lt;"&amp;DATE(2024,4,1))</f>
        <v/>
      </c>
      <c r="F9" s="24">
        <f>SUMIFS('Income Log'!$E:$E,'Income Log'!$D:$D,"Dividends",'Income Log'!$B:$B,"&gt;="&amp;DATE(2024,4,1),'Income Log'!$B:$B,"&lt;"&amp;DATE(2024,5,1))</f>
        <v/>
      </c>
      <c r="G9" s="24">
        <f>SUMIFS('Income Log'!$E:$E,'Income Log'!$D:$D,"Dividends",'Income Log'!$B:$B,"&gt;="&amp;DATE(2024,5,1),'Income Log'!$B:$B,"&lt;"&amp;DATE(2024,6,1))</f>
        <v/>
      </c>
      <c r="H9" s="24">
        <f>SUMIFS('Income Log'!$E:$E,'Income Log'!$D:$D,"Dividends",'Income Log'!$B:$B,"&gt;="&amp;DATE(2024,6,1),'Income Log'!$B:$B,"&lt;"&amp;DATE(2024,7,1))</f>
        <v/>
      </c>
      <c r="I9" s="24">
        <f>SUMIFS('Income Log'!$E:$E,'Income Log'!$D:$D,"Dividends",'Income Log'!$B:$B,"&gt;="&amp;DATE(2024,7,1),'Income Log'!$B:$B,"&lt;"&amp;DATE(2024,8,1))</f>
        <v/>
      </c>
      <c r="J9" s="24">
        <f>SUMIFS('Income Log'!$E:$E,'Income Log'!$D:$D,"Dividends",'Income Log'!$B:$B,"&gt;="&amp;DATE(2024,8,1),'Income Log'!$B:$B,"&lt;"&amp;DATE(2024,9,1))</f>
        <v/>
      </c>
      <c r="K9" s="24">
        <f>SUMIFS('Income Log'!$E:$E,'Income Log'!$D:$D,"Dividends",'Income Log'!$B:$B,"&gt;="&amp;DATE(2024,9,1),'Income Log'!$B:$B,"&lt;"&amp;DATE(2024,10,1))</f>
        <v/>
      </c>
      <c r="L9" s="24">
        <f>SUMIFS('Income Log'!$E:$E,'Income Log'!$D:$D,"Dividends",'Income Log'!$B:$B,"&gt;="&amp;DATE(2024,10,1),'Income Log'!$B:$B,"&lt;"&amp;DATE(2024,11,1))</f>
        <v/>
      </c>
      <c r="M9" s="24">
        <f>SUMIFS('Income Log'!$E:$E,'Income Log'!$D:$D,"Dividends",'Income Log'!$B:$B,"&gt;="&amp;DATE(2024,11,1),'Income Log'!$B:$B,"&lt;"&amp;DATE(2024,12,1))</f>
        <v/>
      </c>
      <c r="N9" s="24">
        <f>SUMIFS('Income Log'!$E:$E,'Income Log'!$D:$D,"Dividends",'Income Log'!$B:$B,"&gt;="&amp;DATE(2024,12,1),'Income Log'!$B:$B,"&lt;"&amp;DATE(2025,1,1))</f>
        <v/>
      </c>
      <c r="O9" s="22">
        <f>SUM(C9:N9)</f>
        <v/>
      </c>
    </row>
    <row r="10" ht="20" customHeight="1">
      <c r="B10" s="30" t="inlineStr">
        <is>
          <t>Bonus</t>
        </is>
      </c>
      <c r="C10" s="31">
        <f>SUMIFS('Income Log'!$E:$E,'Income Log'!$D:$D,"Bonus",'Income Log'!$B:$B,"&gt;="&amp;DATE(2024,1,1),'Income Log'!$B:$B,"&lt;"&amp;DATE(2024,2,1))</f>
        <v/>
      </c>
      <c r="D10" s="31">
        <f>SUMIFS('Income Log'!$E:$E,'Income Log'!$D:$D,"Bonus",'Income Log'!$B:$B,"&gt;="&amp;DATE(2024,2,1),'Income Log'!$B:$B,"&lt;"&amp;DATE(2024,3,1))</f>
        <v/>
      </c>
      <c r="E10" s="31">
        <f>SUMIFS('Income Log'!$E:$E,'Income Log'!$D:$D,"Bonus",'Income Log'!$B:$B,"&gt;="&amp;DATE(2024,3,1),'Income Log'!$B:$B,"&lt;"&amp;DATE(2024,4,1))</f>
        <v/>
      </c>
      <c r="F10" s="31">
        <f>SUMIFS('Income Log'!$E:$E,'Income Log'!$D:$D,"Bonus",'Income Log'!$B:$B,"&gt;="&amp;DATE(2024,4,1),'Income Log'!$B:$B,"&lt;"&amp;DATE(2024,5,1))</f>
        <v/>
      </c>
      <c r="G10" s="31">
        <f>SUMIFS('Income Log'!$E:$E,'Income Log'!$D:$D,"Bonus",'Income Log'!$B:$B,"&gt;="&amp;DATE(2024,5,1),'Income Log'!$B:$B,"&lt;"&amp;DATE(2024,6,1))</f>
        <v/>
      </c>
      <c r="H10" s="31">
        <f>SUMIFS('Income Log'!$E:$E,'Income Log'!$D:$D,"Bonus",'Income Log'!$B:$B,"&gt;="&amp;DATE(2024,6,1),'Income Log'!$B:$B,"&lt;"&amp;DATE(2024,7,1))</f>
        <v/>
      </c>
      <c r="I10" s="31">
        <f>SUMIFS('Income Log'!$E:$E,'Income Log'!$D:$D,"Bonus",'Income Log'!$B:$B,"&gt;="&amp;DATE(2024,7,1),'Income Log'!$B:$B,"&lt;"&amp;DATE(2024,8,1))</f>
        <v/>
      </c>
      <c r="J10" s="31">
        <f>SUMIFS('Income Log'!$E:$E,'Income Log'!$D:$D,"Bonus",'Income Log'!$B:$B,"&gt;="&amp;DATE(2024,8,1),'Income Log'!$B:$B,"&lt;"&amp;DATE(2024,9,1))</f>
        <v/>
      </c>
      <c r="K10" s="31">
        <f>SUMIFS('Income Log'!$E:$E,'Income Log'!$D:$D,"Bonus",'Income Log'!$B:$B,"&gt;="&amp;DATE(2024,9,1),'Income Log'!$B:$B,"&lt;"&amp;DATE(2024,10,1))</f>
        <v/>
      </c>
      <c r="L10" s="31">
        <f>SUMIFS('Income Log'!$E:$E,'Income Log'!$D:$D,"Bonus",'Income Log'!$B:$B,"&gt;="&amp;DATE(2024,10,1),'Income Log'!$B:$B,"&lt;"&amp;DATE(2024,11,1))</f>
        <v/>
      </c>
      <c r="M10" s="31">
        <f>SUMIFS('Income Log'!$E:$E,'Income Log'!$D:$D,"Bonus",'Income Log'!$B:$B,"&gt;="&amp;DATE(2024,11,1),'Income Log'!$B:$B,"&lt;"&amp;DATE(2024,12,1))</f>
        <v/>
      </c>
      <c r="N10" s="31">
        <f>SUMIFS('Income Log'!$E:$E,'Income Log'!$D:$D,"Bonus",'Income Log'!$B:$B,"&gt;="&amp;DATE(2024,12,1),'Income Log'!$B:$B,"&lt;"&amp;DATE(2025,1,1))</f>
        <v/>
      </c>
      <c r="O10" s="22">
        <f>SUM(C10:N10)</f>
        <v/>
      </c>
    </row>
    <row r="11" ht="20" customHeight="1">
      <c r="B11" s="32" t="inlineStr">
        <is>
          <t>Other Income</t>
        </is>
      </c>
      <c r="C11" s="24">
        <f>SUMIFS('Income Log'!$E:$E,'Income Log'!$D:$D,"Other Income",'Income Log'!$B:$B,"&gt;="&amp;DATE(2024,1,1),'Income Log'!$B:$B,"&lt;"&amp;DATE(2024,2,1))</f>
        <v/>
      </c>
      <c r="D11" s="24">
        <f>SUMIFS('Income Log'!$E:$E,'Income Log'!$D:$D,"Other Income",'Income Log'!$B:$B,"&gt;="&amp;DATE(2024,2,1),'Income Log'!$B:$B,"&lt;"&amp;DATE(2024,3,1))</f>
        <v/>
      </c>
      <c r="E11" s="24">
        <f>SUMIFS('Income Log'!$E:$E,'Income Log'!$D:$D,"Other Income",'Income Log'!$B:$B,"&gt;="&amp;DATE(2024,3,1),'Income Log'!$B:$B,"&lt;"&amp;DATE(2024,4,1))</f>
        <v/>
      </c>
      <c r="F11" s="24">
        <f>SUMIFS('Income Log'!$E:$E,'Income Log'!$D:$D,"Other Income",'Income Log'!$B:$B,"&gt;="&amp;DATE(2024,4,1),'Income Log'!$B:$B,"&lt;"&amp;DATE(2024,5,1))</f>
        <v/>
      </c>
      <c r="G11" s="24">
        <f>SUMIFS('Income Log'!$E:$E,'Income Log'!$D:$D,"Other Income",'Income Log'!$B:$B,"&gt;="&amp;DATE(2024,5,1),'Income Log'!$B:$B,"&lt;"&amp;DATE(2024,6,1))</f>
        <v/>
      </c>
      <c r="H11" s="24">
        <f>SUMIFS('Income Log'!$E:$E,'Income Log'!$D:$D,"Other Income",'Income Log'!$B:$B,"&gt;="&amp;DATE(2024,6,1),'Income Log'!$B:$B,"&lt;"&amp;DATE(2024,7,1))</f>
        <v/>
      </c>
      <c r="I11" s="24">
        <f>SUMIFS('Income Log'!$E:$E,'Income Log'!$D:$D,"Other Income",'Income Log'!$B:$B,"&gt;="&amp;DATE(2024,7,1),'Income Log'!$B:$B,"&lt;"&amp;DATE(2024,8,1))</f>
        <v/>
      </c>
      <c r="J11" s="24">
        <f>SUMIFS('Income Log'!$E:$E,'Income Log'!$D:$D,"Other Income",'Income Log'!$B:$B,"&gt;="&amp;DATE(2024,8,1),'Income Log'!$B:$B,"&lt;"&amp;DATE(2024,9,1))</f>
        <v/>
      </c>
      <c r="K11" s="24">
        <f>SUMIFS('Income Log'!$E:$E,'Income Log'!$D:$D,"Other Income",'Income Log'!$B:$B,"&gt;="&amp;DATE(2024,9,1),'Income Log'!$B:$B,"&lt;"&amp;DATE(2024,10,1))</f>
        <v/>
      </c>
      <c r="L11" s="24">
        <f>SUMIFS('Income Log'!$E:$E,'Income Log'!$D:$D,"Other Income",'Income Log'!$B:$B,"&gt;="&amp;DATE(2024,10,1),'Income Log'!$B:$B,"&lt;"&amp;DATE(2024,11,1))</f>
        <v/>
      </c>
      <c r="M11" s="24">
        <f>SUMIFS('Income Log'!$E:$E,'Income Log'!$D:$D,"Other Income",'Income Log'!$B:$B,"&gt;="&amp;DATE(2024,11,1),'Income Log'!$B:$B,"&lt;"&amp;DATE(2024,12,1))</f>
        <v/>
      </c>
      <c r="N11" s="24">
        <f>SUMIFS('Income Log'!$E:$E,'Income Log'!$D:$D,"Other Income",'Income Log'!$B:$B,"&gt;="&amp;DATE(2024,12,1),'Income Log'!$B:$B,"&lt;"&amp;DATE(2025,1,1))</f>
        <v/>
      </c>
      <c r="O11" s="22">
        <f>SUM(C11:N11)</f>
        <v/>
      </c>
    </row>
    <row r="12" ht="24" customHeight="1">
      <c r="B12" s="33" t="inlineStr">
        <is>
          <t>TOTAL INCOME</t>
        </is>
      </c>
      <c r="C12" s="34">
        <f>SUM(C6:C11)</f>
        <v/>
      </c>
      <c r="D12" s="34">
        <f>SUM(D6:D11)</f>
        <v/>
      </c>
      <c r="E12" s="34">
        <f>SUM(E6:E11)</f>
        <v/>
      </c>
      <c r="F12" s="34">
        <f>SUM(F6:F11)</f>
        <v/>
      </c>
      <c r="G12" s="34">
        <f>SUM(G6:G11)</f>
        <v/>
      </c>
      <c r="H12" s="34">
        <f>SUM(H6:H11)</f>
        <v/>
      </c>
      <c r="I12" s="34">
        <f>SUM(I6:I11)</f>
        <v/>
      </c>
      <c r="J12" s="34">
        <f>SUM(J6:J11)</f>
        <v/>
      </c>
      <c r="K12" s="34">
        <f>SUM(K6:K11)</f>
        <v/>
      </c>
      <c r="L12" s="34">
        <f>SUM(L6:L11)</f>
        <v/>
      </c>
      <c r="M12" s="34">
        <f>SUM(M6:M11)</f>
        <v/>
      </c>
      <c r="N12" s="34">
        <f>SUM(N6:N11)</f>
        <v/>
      </c>
      <c r="O12" s="34">
        <f>SUM(O6:O11)</f>
        <v/>
      </c>
    </row>
    <row r="13" ht="10" customHeight="1"/>
    <row r="14" ht="24" customHeight="1">
      <c r="B14" s="35" t="inlineStr">
        <is>
          <t xml:space="preserve">  EXPENSES  -  add rows to Expense Log to update</t>
        </is>
      </c>
    </row>
    <row r="15" ht="20" customHeight="1">
      <c r="B15" s="36" t="inlineStr">
        <is>
          <t>Category</t>
        </is>
      </c>
      <c r="C15" s="36" t="inlineStr">
        <is>
          <t>Jan</t>
        </is>
      </c>
      <c r="D15" s="36" t="inlineStr">
        <is>
          <t>Feb</t>
        </is>
      </c>
      <c r="E15" s="36" t="inlineStr">
        <is>
          <t>Mar</t>
        </is>
      </c>
      <c r="F15" s="36" t="inlineStr">
        <is>
          <t>Apr</t>
        </is>
      </c>
      <c r="G15" s="36" t="inlineStr">
        <is>
          <t>May</t>
        </is>
      </c>
      <c r="H15" s="36" t="inlineStr">
        <is>
          <t>Jun</t>
        </is>
      </c>
      <c r="I15" s="36" t="inlineStr">
        <is>
          <t>Jul</t>
        </is>
      </c>
      <c r="J15" s="36" t="inlineStr">
        <is>
          <t>Aug</t>
        </is>
      </c>
      <c r="K15" s="36" t="inlineStr">
        <is>
          <t>Sep</t>
        </is>
      </c>
      <c r="L15" s="36" t="inlineStr">
        <is>
          <t>Oct</t>
        </is>
      </c>
      <c r="M15" s="36" t="inlineStr">
        <is>
          <t>Nov</t>
        </is>
      </c>
      <c r="N15" s="36" t="inlineStr">
        <is>
          <t>Dec</t>
        </is>
      </c>
      <c r="O15" s="36" t="inlineStr">
        <is>
          <t>Annual Total</t>
        </is>
      </c>
    </row>
    <row r="16" ht="20" customHeight="1">
      <c r="B16" s="37" t="inlineStr">
        <is>
          <t>Housing</t>
        </is>
      </c>
      <c r="C16" s="38">
        <f>SUMIFS('Expense Log'!$E:$E,'Expense Log'!$D:$D,"Housing",'Expense Log'!$B:$B,"&gt;="&amp;DATE(2024,1,1),'Expense Log'!$B:$B,"&lt;"&amp;DATE(2024,2,1))</f>
        <v/>
      </c>
      <c r="D16" s="38">
        <f>SUMIFS('Expense Log'!$E:$E,'Expense Log'!$D:$D,"Housing",'Expense Log'!$B:$B,"&gt;="&amp;DATE(2024,2,1),'Expense Log'!$B:$B,"&lt;"&amp;DATE(2024,3,1))</f>
        <v/>
      </c>
      <c r="E16" s="38">
        <f>SUMIFS('Expense Log'!$E:$E,'Expense Log'!$D:$D,"Housing",'Expense Log'!$B:$B,"&gt;="&amp;DATE(2024,3,1),'Expense Log'!$B:$B,"&lt;"&amp;DATE(2024,4,1))</f>
        <v/>
      </c>
      <c r="F16" s="38">
        <f>SUMIFS('Expense Log'!$E:$E,'Expense Log'!$D:$D,"Housing",'Expense Log'!$B:$B,"&gt;="&amp;DATE(2024,4,1),'Expense Log'!$B:$B,"&lt;"&amp;DATE(2024,5,1))</f>
        <v/>
      </c>
      <c r="G16" s="38">
        <f>SUMIFS('Expense Log'!$E:$E,'Expense Log'!$D:$D,"Housing",'Expense Log'!$B:$B,"&gt;="&amp;DATE(2024,5,1),'Expense Log'!$B:$B,"&lt;"&amp;DATE(2024,6,1))</f>
        <v/>
      </c>
      <c r="H16" s="38">
        <f>SUMIFS('Expense Log'!$E:$E,'Expense Log'!$D:$D,"Housing",'Expense Log'!$B:$B,"&gt;="&amp;DATE(2024,6,1),'Expense Log'!$B:$B,"&lt;"&amp;DATE(2024,7,1))</f>
        <v/>
      </c>
      <c r="I16" s="38">
        <f>SUMIFS('Expense Log'!$E:$E,'Expense Log'!$D:$D,"Housing",'Expense Log'!$B:$B,"&gt;="&amp;DATE(2024,7,1),'Expense Log'!$B:$B,"&lt;"&amp;DATE(2024,8,1))</f>
        <v/>
      </c>
      <c r="J16" s="38">
        <f>SUMIFS('Expense Log'!$E:$E,'Expense Log'!$D:$D,"Housing",'Expense Log'!$B:$B,"&gt;="&amp;DATE(2024,8,1),'Expense Log'!$B:$B,"&lt;"&amp;DATE(2024,9,1))</f>
        <v/>
      </c>
      <c r="K16" s="38">
        <f>SUMIFS('Expense Log'!$E:$E,'Expense Log'!$D:$D,"Housing",'Expense Log'!$B:$B,"&gt;="&amp;DATE(2024,9,1),'Expense Log'!$B:$B,"&lt;"&amp;DATE(2024,10,1))</f>
        <v/>
      </c>
      <c r="L16" s="38">
        <f>SUMIFS('Expense Log'!$E:$E,'Expense Log'!$D:$D,"Housing",'Expense Log'!$B:$B,"&gt;="&amp;DATE(2024,10,1),'Expense Log'!$B:$B,"&lt;"&amp;DATE(2024,11,1))</f>
        <v/>
      </c>
      <c r="M16" s="38">
        <f>SUMIFS('Expense Log'!$E:$E,'Expense Log'!$D:$D,"Housing",'Expense Log'!$B:$B,"&gt;="&amp;DATE(2024,11,1),'Expense Log'!$B:$B,"&lt;"&amp;DATE(2024,12,1))</f>
        <v/>
      </c>
      <c r="N16" s="38">
        <f>SUMIFS('Expense Log'!$E:$E,'Expense Log'!$D:$D,"Housing",'Expense Log'!$B:$B,"&gt;="&amp;DATE(2024,12,1),'Expense Log'!$B:$B,"&lt;"&amp;DATE(2025,1,1))</f>
        <v/>
      </c>
      <c r="O16" s="39">
        <f>SUM(C16:N16)</f>
        <v/>
      </c>
    </row>
    <row r="17" ht="20" customHeight="1">
      <c r="B17" s="40" t="inlineStr">
        <is>
          <t>Food and Groceries</t>
        </is>
      </c>
      <c r="C17" s="24">
        <f>SUMIFS('Expense Log'!$E:$E,'Expense Log'!$D:$D,"Food and Groceries",'Expense Log'!$B:$B,"&gt;="&amp;DATE(2024,1,1),'Expense Log'!$B:$B,"&lt;"&amp;DATE(2024,2,1))</f>
        <v/>
      </c>
      <c r="D17" s="24">
        <f>SUMIFS('Expense Log'!$E:$E,'Expense Log'!$D:$D,"Food and Groceries",'Expense Log'!$B:$B,"&gt;="&amp;DATE(2024,2,1),'Expense Log'!$B:$B,"&lt;"&amp;DATE(2024,3,1))</f>
        <v/>
      </c>
      <c r="E17" s="24">
        <f>SUMIFS('Expense Log'!$E:$E,'Expense Log'!$D:$D,"Food and Groceries",'Expense Log'!$B:$B,"&gt;="&amp;DATE(2024,3,1),'Expense Log'!$B:$B,"&lt;"&amp;DATE(2024,4,1))</f>
        <v/>
      </c>
      <c r="F17" s="24">
        <f>SUMIFS('Expense Log'!$E:$E,'Expense Log'!$D:$D,"Food and Groceries",'Expense Log'!$B:$B,"&gt;="&amp;DATE(2024,4,1),'Expense Log'!$B:$B,"&lt;"&amp;DATE(2024,5,1))</f>
        <v/>
      </c>
      <c r="G17" s="24">
        <f>SUMIFS('Expense Log'!$E:$E,'Expense Log'!$D:$D,"Food and Groceries",'Expense Log'!$B:$B,"&gt;="&amp;DATE(2024,5,1),'Expense Log'!$B:$B,"&lt;"&amp;DATE(2024,6,1))</f>
        <v/>
      </c>
      <c r="H17" s="24">
        <f>SUMIFS('Expense Log'!$E:$E,'Expense Log'!$D:$D,"Food and Groceries",'Expense Log'!$B:$B,"&gt;="&amp;DATE(2024,6,1),'Expense Log'!$B:$B,"&lt;"&amp;DATE(2024,7,1))</f>
        <v/>
      </c>
      <c r="I17" s="24">
        <f>SUMIFS('Expense Log'!$E:$E,'Expense Log'!$D:$D,"Food and Groceries",'Expense Log'!$B:$B,"&gt;="&amp;DATE(2024,7,1),'Expense Log'!$B:$B,"&lt;"&amp;DATE(2024,8,1))</f>
        <v/>
      </c>
      <c r="J17" s="24">
        <f>SUMIFS('Expense Log'!$E:$E,'Expense Log'!$D:$D,"Food and Groceries",'Expense Log'!$B:$B,"&gt;="&amp;DATE(2024,8,1),'Expense Log'!$B:$B,"&lt;"&amp;DATE(2024,9,1))</f>
        <v/>
      </c>
      <c r="K17" s="24">
        <f>SUMIFS('Expense Log'!$E:$E,'Expense Log'!$D:$D,"Food and Groceries",'Expense Log'!$B:$B,"&gt;="&amp;DATE(2024,9,1),'Expense Log'!$B:$B,"&lt;"&amp;DATE(2024,10,1))</f>
        <v/>
      </c>
      <c r="L17" s="24">
        <f>SUMIFS('Expense Log'!$E:$E,'Expense Log'!$D:$D,"Food and Groceries",'Expense Log'!$B:$B,"&gt;="&amp;DATE(2024,10,1),'Expense Log'!$B:$B,"&lt;"&amp;DATE(2024,11,1))</f>
        <v/>
      </c>
      <c r="M17" s="24">
        <f>SUMIFS('Expense Log'!$E:$E,'Expense Log'!$D:$D,"Food and Groceries",'Expense Log'!$B:$B,"&gt;="&amp;DATE(2024,11,1),'Expense Log'!$B:$B,"&lt;"&amp;DATE(2024,12,1))</f>
        <v/>
      </c>
      <c r="N17" s="24">
        <f>SUMIFS('Expense Log'!$E:$E,'Expense Log'!$D:$D,"Food and Groceries",'Expense Log'!$B:$B,"&gt;="&amp;DATE(2024,12,1),'Expense Log'!$B:$B,"&lt;"&amp;DATE(2025,1,1))</f>
        <v/>
      </c>
      <c r="O17" s="39">
        <f>SUM(C17:N17)</f>
        <v/>
      </c>
    </row>
    <row r="18" ht="20" customHeight="1">
      <c r="B18" s="37" t="inlineStr">
        <is>
          <t>Transport</t>
        </is>
      </c>
      <c r="C18" s="38">
        <f>SUMIFS('Expense Log'!$E:$E,'Expense Log'!$D:$D,"Transport",'Expense Log'!$B:$B,"&gt;="&amp;DATE(2024,1,1),'Expense Log'!$B:$B,"&lt;"&amp;DATE(2024,2,1))</f>
        <v/>
      </c>
      <c r="D18" s="38">
        <f>SUMIFS('Expense Log'!$E:$E,'Expense Log'!$D:$D,"Transport",'Expense Log'!$B:$B,"&gt;="&amp;DATE(2024,2,1),'Expense Log'!$B:$B,"&lt;"&amp;DATE(2024,3,1))</f>
        <v/>
      </c>
      <c r="E18" s="38">
        <f>SUMIFS('Expense Log'!$E:$E,'Expense Log'!$D:$D,"Transport",'Expense Log'!$B:$B,"&gt;="&amp;DATE(2024,3,1),'Expense Log'!$B:$B,"&lt;"&amp;DATE(2024,4,1))</f>
        <v/>
      </c>
      <c r="F18" s="38">
        <f>SUMIFS('Expense Log'!$E:$E,'Expense Log'!$D:$D,"Transport",'Expense Log'!$B:$B,"&gt;="&amp;DATE(2024,4,1),'Expense Log'!$B:$B,"&lt;"&amp;DATE(2024,5,1))</f>
        <v/>
      </c>
      <c r="G18" s="38">
        <f>SUMIFS('Expense Log'!$E:$E,'Expense Log'!$D:$D,"Transport",'Expense Log'!$B:$B,"&gt;="&amp;DATE(2024,5,1),'Expense Log'!$B:$B,"&lt;"&amp;DATE(2024,6,1))</f>
        <v/>
      </c>
      <c r="H18" s="38">
        <f>SUMIFS('Expense Log'!$E:$E,'Expense Log'!$D:$D,"Transport",'Expense Log'!$B:$B,"&gt;="&amp;DATE(2024,6,1),'Expense Log'!$B:$B,"&lt;"&amp;DATE(2024,7,1))</f>
        <v/>
      </c>
      <c r="I18" s="38">
        <f>SUMIFS('Expense Log'!$E:$E,'Expense Log'!$D:$D,"Transport",'Expense Log'!$B:$B,"&gt;="&amp;DATE(2024,7,1),'Expense Log'!$B:$B,"&lt;"&amp;DATE(2024,8,1))</f>
        <v/>
      </c>
      <c r="J18" s="38">
        <f>SUMIFS('Expense Log'!$E:$E,'Expense Log'!$D:$D,"Transport",'Expense Log'!$B:$B,"&gt;="&amp;DATE(2024,8,1),'Expense Log'!$B:$B,"&lt;"&amp;DATE(2024,9,1))</f>
        <v/>
      </c>
      <c r="K18" s="38">
        <f>SUMIFS('Expense Log'!$E:$E,'Expense Log'!$D:$D,"Transport",'Expense Log'!$B:$B,"&gt;="&amp;DATE(2024,9,1),'Expense Log'!$B:$B,"&lt;"&amp;DATE(2024,10,1))</f>
        <v/>
      </c>
      <c r="L18" s="38">
        <f>SUMIFS('Expense Log'!$E:$E,'Expense Log'!$D:$D,"Transport",'Expense Log'!$B:$B,"&gt;="&amp;DATE(2024,10,1),'Expense Log'!$B:$B,"&lt;"&amp;DATE(2024,11,1))</f>
        <v/>
      </c>
      <c r="M18" s="38">
        <f>SUMIFS('Expense Log'!$E:$E,'Expense Log'!$D:$D,"Transport",'Expense Log'!$B:$B,"&gt;="&amp;DATE(2024,11,1),'Expense Log'!$B:$B,"&lt;"&amp;DATE(2024,12,1))</f>
        <v/>
      </c>
      <c r="N18" s="38">
        <f>SUMIFS('Expense Log'!$E:$E,'Expense Log'!$D:$D,"Transport",'Expense Log'!$B:$B,"&gt;="&amp;DATE(2024,12,1),'Expense Log'!$B:$B,"&lt;"&amp;DATE(2025,1,1))</f>
        <v/>
      </c>
      <c r="O18" s="39">
        <f>SUM(C18:N18)</f>
        <v/>
      </c>
    </row>
    <row r="19" ht="20" customHeight="1">
      <c r="B19" s="40" t="inlineStr">
        <is>
          <t>Health and Medical</t>
        </is>
      </c>
      <c r="C19" s="24">
        <f>SUMIFS('Expense Log'!$E:$E,'Expense Log'!$D:$D,"Health and Medical",'Expense Log'!$B:$B,"&gt;="&amp;DATE(2024,1,1),'Expense Log'!$B:$B,"&lt;"&amp;DATE(2024,2,1))</f>
        <v/>
      </c>
      <c r="D19" s="24">
        <f>SUMIFS('Expense Log'!$E:$E,'Expense Log'!$D:$D,"Health and Medical",'Expense Log'!$B:$B,"&gt;="&amp;DATE(2024,2,1),'Expense Log'!$B:$B,"&lt;"&amp;DATE(2024,3,1))</f>
        <v/>
      </c>
      <c r="E19" s="24">
        <f>SUMIFS('Expense Log'!$E:$E,'Expense Log'!$D:$D,"Health and Medical",'Expense Log'!$B:$B,"&gt;="&amp;DATE(2024,3,1),'Expense Log'!$B:$B,"&lt;"&amp;DATE(2024,4,1))</f>
        <v/>
      </c>
      <c r="F19" s="24">
        <f>SUMIFS('Expense Log'!$E:$E,'Expense Log'!$D:$D,"Health and Medical",'Expense Log'!$B:$B,"&gt;="&amp;DATE(2024,4,1),'Expense Log'!$B:$B,"&lt;"&amp;DATE(2024,5,1))</f>
        <v/>
      </c>
      <c r="G19" s="24">
        <f>SUMIFS('Expense Log'!$E:$E,'Expense Log'!$D:$D,"Health and Medical",'Expense Log'!$B:$B,"&gt;="&amp;DATE(2024,5,1),'Expense Log'!$B:$B,"&lt;"&amp;DATE(2024,6,1))</f>
        <v/>
      </c>
      <c r="H19" s="24">
        <f>SUMIFS('Expense Log'!$E:$E,'Expense Log'!$D:$D,"Health and Medical",'Expense Log'!$B:$B,"&gt;="&amp;DATE(2024,6,1),'Expense Log'!$B:$B,"&lt;"&amp;DATE(2024,7,1))</f>
        <v/>
      </c>
      <c r="I19" s="24">
        <f>SUMIFS('Expense Log'!$E:$E,'Expense Log'!$D:$D,"Health and Medical",'Expense Log'!$B:$B,"&gt;="&amp;DATE(2024,7,1),'Expense Log'!$B:$B,"&lt;"&amp;DATE(2024,8,1))</f>
        <v/>
      </c>
      <c r="J19" s="24">
        <f>SUMIFS('Expense Log'!$E:$E,'Expense Log'!$D:$D,"Health and Medical",'Expense Log'!$B:$B,"&gt;="&amp;DATE(2024,8,1),'Expense Log'!$B:$B,"&lt;"&amp;DATE(2024,9,1))</f>
        <v/>
      </c>
      <c r="K19" s="24">
        <f>SUMIFS('Expense Log'!$E:$E,'Expense Log'!$D:$D,"Health and Medical",'Expense Log'!$B:$B,"&gt;="&amp;DATE(2024,9,1),'Expense Log'!$B:$B,"&lt;"&amp;DATE(2024,10,1))</f>
        <v/>
      </c>
      <c r="L19" s="24">
        <f>SUMIFS('Expense Log'!$E:$E,'Expense Log'!$D:$D,"Health and Medical",'Expense Log'!$B:$B,"&gt;="&amp;DATE(2024,10,1),'Expense Log'!$B:$B,"&lt;"&amp;DATE(2024,11,1))</f>
        <v/>
      </c>
      <c r="M19" s="24">
        <f>SUMIFS('Expense Log'!$E:$E,'Expense Log'!$D:$D,"Health and Medical",'Expense Log'!$B:$B,"&gt;="&amp;DATE(2024,11,1),'Expense Log'!$B:$B,"&lt;"&amp;DATE(2024,12,1))</f>
        <v/>
      </c>
      <c r="N19" s="24">
        <f>SUMIFS('Expense Log'!$E:$E,'Expense Log'!$D:$D,"Health and Medical",'Expense Log'!$B:$B,"&gt;="&amp;DATE(2024,12,1),'Expense Log'!$B:$B,"&lt;"&amp;DATE(2025,1,1))</f>
        <v/>
      </c>
      <c r="O19" s="39">
        <f>SUM(C19:N19)</f>
        <v/>
      </c>
    </row>
    <row r="20" ht="20" customHeight="1">
      <c r="B20" s="37" t="inlineStr">
        <is>
          <t>Education</t>
        </is>
      </c>
      <c r="C20" s="38">
        <f>SUMIFS('Expense Log'!$E:$E,'Expense Log'!$D:$D,"Education",'Expense Log'!$B:$B,"&gt;="&amp;DATE(2024,1,1),'Expense Log'!$B:$B,"&lt;"&amp;DATE(2024,2,1))</f>
        <v/>
      </c>
      <c r="D20" s="38">
        <f>SUMIFS('Expense Log'!$E:$E,'Expense Log'!$D:$D,"Education",'Expense Log'!$B:$B,"&gt;="&amp;DATE(2024,2,1),'Expense Log'!$B:$B,"&lt;"&amp;DATE(2024,3,1))</f>
        <v/>
      </c>
      <c r="E20" s="38">
        <f>SUMIFS('Expense Log'!$E:$E,'Expense Log'!$D:$D,"Education",'Expense Log'!$B:$B,"&gt;="&amp;DATE(2024,3,1),'Expense Log'!$B:$B,"&lt;"&amp;DATE(2024,4,1))</f>
        <v/>
      </c>
      <c r="F20" s="38">
        <f>SUMIFS('Expense Log'!$E:$E,'Expense Log'!$D:$D,"Education",'Expense Log'!$B:$B,"&gt;="&amp;DATE(2024,4,1),'Expense Log'!$B:$B,"&lt;"&amp;DATE(2024,5,1))</f>
        <v/>
      </c>
      <c r="G20" s="38">
        <f>SUMIFS('Expense Log'!$E:$E,'Expense Log'!$D:$D,"Education",'Expense Log'!$B:$B,"&gt;="&amp;DATE(2024,5,1),'Expense Log'!$B:$B,"&lt;"&amp;DATE(2024,6,1))</f>
        <v/>
      </c>
      <c r="H20" s="38">
        <f>SUMIFS('Expense Log'!$E:$E,'Expense Log'!$D:$D,"Education",'Expense Log'!$B:$B,"&gt;="&amp;DATE(2024,6,1),'Expense Log'!$B:$B,"&lt;"&amp;DATE(2024,7,1))</f>
        <v/>
      </c>
      <c r="I20" s="38">
        <f>SUMIFS('Expense Log'!$E:$E,'Expense Log'!$D:$D,"Education",'Expense Log'!$B:$B,"&gt;="&amp;DATE(2024,7,1),'Expense Log'!$B:$B,"&lt;"&amp;DATE(2024,8,1))</f>
        <v/>
      </c>
      <c r="J20" s="38">
        <f>SUMIFS('Expense Log'!$E:$E,'Expense Log'!$D:$D,"Education",'Expense Log'!$B:$B,"&gt;="&amp;DATE(2024,8,1),'Expense Log'!$B:$B,"&lt;"&amp;DATE(2024,9,1))</f>
        <v/>
      </c>
      <c r="K20" s="38">
        <f>SUMIFS('Expense Log'!$E:$E,'Expense Log'!$D:$D,"Education",'Expense Log'!$B:$B,"&gt;="&amp;DATE(2024,9,1),'Expense Log'!$B:$B,"&lt;"&amp;DATE(2024,10,1))</f>
        <v/>
      </c>
      <c r="L20" s="38">
        <f>SUMIFS('Expense Log'!$E:$E,'Expense Log'!$D:$D,"Education",'Expense Log'!$B:$B,"&gt;="&amp;DATE(2024,10,1),'Expense Log'!$B:$B,"&lt;"&amp;DATE(2024,11,1))</f>
        <v/>
      </c>
      <c r="M20" s="38">
        <f>SUMIFS('Expense Log'!$E:$E,'Expense Log'!$D:$D,"Education",'Expense Log'!$B:$B,"&gt;="&amp;DATE(2024,11,1),'Expense Log'!$B:$B,"&lt;"&amp;DATE(2024,12,1))</f>
        <v/>
      </c>
      <c r="N20" s="38">
        <f>SUMIFS('Expense Log'!$E:$E,'Expense Log'!$D:$D,"Education",'Expense Log'!$B:$B,"&gt;="&amp;DATE(2024,12,1),'Expense Log'!$B:$B,"&lt;"&amp;DATE(2025,1,1))</f>
        <v/>
      </c>
      <c r="O20" s="39">
        <f>SUM(C20:N20)</f>
        <v/>
      </c>
    </row>
    <row r="21" ht="20" customHeight="1">
      <c r="B21" s="40" t="inlineStr">
        <is>
          <t>Shopping</t>
        </is>
      </c>
      <c r="C21" s="24">
        <f>SUMIFS('Expense Log'!$E:$E,'Expense Log'!$D:$D,"Shopping",'Expense Log'!$B:$B,"&gt;="&amp;DATE(2024,1,1),'Expense Log'!$B:$B,"&lt;"&amp;DATE(2024,2,1))</f>
        <v/>
      </c>
      <c r="D21" s="24">
        <f>SUMIFS('Expense Log'!$E:$E,'Expense Log'!$D:$D,"Shopping",'Expense Log'!$B:$B,"&gt;="&amp;DATE(2024,2,1),'Expense Log'!$B:$B,"&lt;"&amp;DATE(2024,3,1))</f>
        <v/>
      </c>
      <c r="E21" s="24">
        <f>SUMIFS('Expense Log'!$E:$E,'Expense Log'!$D:$D,"Shopping",'Expense Log'!$B:$B,"&gt;="&amp;DATE(2024,3,1),'Expense Log'!$B:$B,"&lt;"&amp;DATE(2024,4,1))</f>
        <v/>
      </c>
      <c r="F21" s="24">
        <f>SUMIFS('Expense Log'!$E:$E,'Expense Log'!$D:$D,"Shopping",'Expense Log'!$B:$B,"&gt;="&amp;DATE(2024,4,1),'Expense Log'!$B:$B,"&lt;"&amp;DATE(2024,5,1))</f>
        <v/>
      </c>
      <c r="G21" s="24">
        <f>SUMIFS('Expense Log'!$E:$E,'Expense Log'!$D:$D,"Shopping",'Expense Log'!$B:$B,"&gt;="&amp;DATE(2024,5,1),'Expense Log'!$B:$B,"&lt;"&amp;DATE(2024,6,1))</f>
        <v/>
      </c>
      <c r="H21" s="24">
        <f>SUMIFS('Expense Log'!$E:$E,'Expense Log'!$D:$D,"Shopping",'Expense Log'!$B:$B,"&gt;="&amp;DATE(2024,6,1),'Expense Log'!$B:$B,"&lt;"&amp;DATE(2024,7,1))</f>
        <v/>
      </c>
      <c r="I21" s="24">
        <f>SUMIFS('Expense Log'!$E:$E,'Expense Log'!$D:$D,"Shopping",'Expense Log'!$B:$B,"&gt;="&amp;DATE(2024,7,1),'Expense Log'!$B:$B,"&lt;"&amp;DATE(2024,8,1))</f>
        <v/>
      </c>
      <c r="J21" s="24">
        <f>SUMIFS('Expense Log'!$E:$E,'Expense Log'!$D:$D,"Shopping",'Expense Log'!$B:$B,"&gt;="&amp;DATE(2024,8,1),'Expense Log'!$B:$B,"&lt;"&amp;DATE(2024,9,1))</f>
        <v/>
      </c>
      <c r="K21" s="24">
        <f>SUMIFS('Expense Log'!$E:$E,'Expense Log'!$D:$D,"Shopping",'Expense Log'!$B:$B,"&gt;="&amp;DATE(2024,9,1),'Expense Log'!$B:$B,"&lt;"&amp;DATE(2024,10,1))</f>
        <v/>
      </c>
      <c r="L21" s="24">
        <f>SUMIFS('Expense Log'!$E:$E,'Expense Log'!$D:$D,"Shopping",'Expense Log'!$B:$B,"&gt;="&amp;DATE(2024,10,1),'Expense Log'!$B:$B,"&lt;"&amp;DATE(2024,11,1))</f>
        <v/>
      </c>
      <c r="M21" s="24">
        <f>SUMIFS('Expense Log'!$E:$E,'Expense Log'!$D:$D,"Shopping",'Expense Log'!$B:$B,"&gt;="&amp;DATE(2024,11,1),'Expense Log'!$B:$B,"&lt;"&amp;DATE(2024,12,1))</f>
        <v/>
      </c>
      <c r="N21" s="24">
        <f>SUMIFS('Expense Log'!$E:$E,'Expense Log'!$D:$D,"Shopping",'Expense Log'!$B:$B,"&gt;="&amp;DATE(2024,12,1),'Expense Log'!$B:$B,"&lt;"&amp;DATE(2025,1,1))</f>
        <v/>
      </c>
      <c r="O21" s="39">
        <f>SUM(C21:N21)</f>
        <v/>
      </c>
    </row>
    <row r="22" ht="20" customHeight="1">
      <c r="B22" s="37" t="inlineStr">
        <is>
          <t>Subscriptions</t>
        </is>
      </c>
      <c r="C22" s="38">
        <f>SUMIFS('Expense Log'!$E:$E,'Expense Log'!$D:$D,"Subscriptions",'Expense Log'!$B:$B,"&gt;="&amp;DATE(2024,1,1),'Expense Log'!$B:$B,"&lt;"&amp;DATE(2024,2,1))</f>
        <v/>
      </c>
      <c r="D22" s="38">
        <f>SUMIFS('Expense Log'!$E:$E,'Expense Log'!$D:$D,"Subscriptions",'Expense Log'!$B:$B,"&gt;="&amp;DATE(2024,2,1),'Expense Log'!$B:$B,"&lt;"&amp;DATE(2024,3,1))</f>
        <v/>
      </c>
      <c r="E22" s="38">
        <f>SUMIFS('Expense Log'!$E:$E,'Expense Log'!$D:$D,"Subscriptions",'Expense Log'!$B:$B,"&gt;="&amp;DATE(2024,3,1),'Expense Log'!$B:$B,"&lt;"&amp;DATE(2024,4,1))</f>
        <v/>
      </c>
      <c r="F22" s="38">
        <f>SUMIFS('Expense Log'!$E:$E,'Expense Log'!$D:$D,"Subscriptions",'Expense Log'!$B:$B,"&gt;="&amp;DATE(2024,4,1),'Expense Log'!$B:$B,"&lt;"&amp;DATE(2024,5,1))</f>
        <v/>
      </c>
      <c r="G22" s="38">
        <f>SUMIFS('Expense Log'!$E:$E,'Expense Log'!$D:$D,"Subscriptions",'Expense Log'!$B:$B,"&gt;="&amp;DATE(2024,5,1),'Expense Log'!$B:$B,"&lt;"&amp;DATE(2024,6,1))</f>
        <v/>
      </c>
      <c r="H22" s="38">
        <f>SUMIFS('Expense Log'!$E:$E,'Expense Log'!$D:$D,"Subscriptions",'Expense Log'!$B:$B,"&gt;="&amp;DATE(2024,6,1),'Expense Log'!$B:$B,"&lt;"&amp;DATE(2024,7,1))</f>
        <v/>
      </c>
      <c r="I22" s="38">
        <f>SUMIFS('Expense Log'!$E:$E,'Expense Log'!$D:$D,"Subscriptions",'Expense Log'!$B:$B,"&gt;="&amp;DATE(2024,7,1),'Expense Log'!$B:$B,"&lt;"&amp;DATE(2024,8,1))</f>
        <v/>
      </c>
      <c r="J22" s="38">
        <f>SUMIFS('Expense Log'!$E:$E,'Expense Log'!$D:$D,"Subscriptions",'Expense Log'!$B:$B,"&gt;="&amp;DATE(2024,8,1),'Expense Log'!$B:$B,"&lt;"&amp;DATE(2024,9,1))</f>
        <v/>
      </c>
      <c r="K22" s="38">
        <f>SUMIFS('Expense Log'!$E:$E,'Expense Log'!$D:$D,"Subscriptions",'Expense Log'!$B:$B,"&gt;="&amp;DATE(2024,9,1),'Expense Log'!$B:$B,"&lt;"&amp;DATE(2024,10,1))</f>
        <v/>
      </c>
      <c r="L22" s="38">
        <f>SUMIFS('Expense Log'!$E:$E,'Expense Log'!$D:$D,"Subscriptions",'Expense Log'!$B:$B,"&gt;="&amp;DATE(2024,10,1),'Expense Log'!$B:$B,"&lt;"&amp;DATE(2024,11,1))</f>
        <v/>
      </c>
      <c r="M22" s="38">
        <f>SUMIFS('Expense Log'!$E:$E,'Expense Log'!$D:$D,"Subscriptions",'Expense Log'!$B:$B,"&gt;="&amp;DATE(2024,11,1),'Expense Log'!$B:$B,"&lt;"&amp;DATE(2024,12,1))</f>
        <v/>
      </c>
      <c r="N22" s="38">
        <f>SUMIFS('Expense Log'!$E:$E,'Expense Log'!$D:$D,"Subscriptions",'Expense Log'!$B:$B,"&gt;="&amp;DATE(2024,12,1),'Expense Log'!$B:$B,"&lt;"&amp;DATE(2025,1,1))</f>
        <v/>
      </c>
      <c r="O22" s="39">
        <f>SUM(C22:N22)</f>
        <v/>
      </c>
    </row>
    <row r="23" ht="20" customHeight="1">
      <c r="B23" s="40" t="inlineStr">
        <is>
          <t>Entertainment</t>
        </is>
      </c>
      <c r="C23" s="24">
        <f>SUMIFS('Expense Log'!$E:$E,'Expense Log'!$D:$D,"Entertainment",'Expense Log'!$B:$B,"&gt;="&amp;DATE(2024,1,1),'Expense Log'!$B:$B,"&lt;"&amp;DATE(2024,2,1))</f>
        <v/>
      </c>
      <c r="D23" s="24">
        <f>SUMIFS('Expense Log'!$E:$E,'Expense Log'!$D:$D,"Entertainment",'Expense Log'!$B:$B,"&gt;="&amp;DATE(2024,2,1),'Expense Log'!$B:$B,"&lt;"&amp;DATE(2024,3,1))</f>
        <v/>
      </c>
      <c r="E23" s="24">
        <f>SUMIFS('Expense Log'!$E:$E,'Expense Log'!$D:$D,"Entertainment",'Expense Log'!$B:$B,"&gt;="&amp;DATE(2024,3,1),'Expense Log'!$B:$B,"&lt;"&amp;DATE(2024,4,1))</f>
        <v/>
      </c>
      <c r="F23" s="24">
        <f>SUMIFS('Expense Log'!$E:$E,'Expense Log'!$D:$D,"Entertainment",'Expense Log'!$B:$B,"&gt;="&amp;DATE(2024,4,1),'Expense Log'!$B:$B,"&lt;"&amp;DATE(2024,5,1))</f>
        <v/>
      </c>
      <c r="G23" s="24">
        <f>SUMIFS('Expense Log'!$E:$E,'Expense Log'!$D:$D,"Entertainment",'Expense Log'!$B:$B,"&gt;="&amp;DATE(2024,5,1),'Expense Log'!$B:$B,"&lt;"&amp;DATE(2024,6,1))</f>
        <v/>
      </c>
      <c r="H23" s="24">
        <f>SUMIFS('Expense Log'!$E:$E,'Expense Log'!$D:$D,"Entertainment",'Expense Log'!$B:$B,"&gt;="&amp;DATE(2024,6,1),'Expense Log'!$B:$B,"&lt;"&amp;DATE(2024,7,1))</f>
        <v/>
      </c>
      <c r="I23" s="24">
        <f>SUMIFS('Expense Log'!$E:$E,'Expense Log'!$D:$D,"Entertainment",'Expense Log'!$B:$B,"&gt;="&amp;DATE(2024,7,1),'Expense Log'!$B:$B,"&lt;"&amp;DATE(2024,8,1))</f>
        <v/>
      </c>
      <c r="J23" s="24">
        <f>SUMIFS('Expense Log'!$E:$E,'Expense Log'!$D:$D,"Entertainment",'Expense Log'!$B:$B,"&gt;="&amp;DATE(2024,8,1),'Expense Log'!$B:$B,"&lt;"&amp;DATE(2024,9,1))</f>
        <v/>
      </c>
      <c r="K23" s="24">
        <f>SUMIFS('Expense Log'!$E:$E,'Expense Log'!$D:$D,"Entertainment",'Expense Log'!$B:$B,"&gt;="&amp;DATE(2024,9,1),'Expense Log'!$B:$B,"&lt;"&amp;DATE(2024,10,1))</f>
        <v/>
      </c>
      <c r="L23" s="24">
        <f>SUMIFS('Expense Log'!$E:$E,'Expense Log'!$D:$D,"Entertainment",'Expense Log'!$B:$B,"&gt;="&amp;DATE(2024,10,1),'Expense Log'!$B:$B,"&lt;"&amp;DATE(2024,11,1))</f>
        <v/>
      </c>
      <c r="M23" s="24">
        <f>SUMIFS('Expense Log'!$E:$E,'Expense Log'!$D:$D,"Entertainment",'Expense Log'!$B:$B,"&gt;="&amp;DATE(2024,11,1),'Expense Log'!$B:$B,"&lt;"&amp;DATE(2024,12,1))</f>
        <v/>
      </c>
      <c r="N23" s="24">
        <f>SUMIFS('Expense Log'!$E:$E,'Expense Log'!$D:$D,"Entertainment",'Expense Log'!$B:$B,"&gt;="&amp;DATE(2024,12,1),'Expense Log'!$B:$B,"&lt;"&amp;DATE(2025,1,1))</f>
        <v/>
      </c>
      <c r="O23" s="39">
        <f>SUM(C23:N23)</f>
        <v/>
      </c>
    </row>
    <row r="24" ht="20" customHeight="1">
      <c r="B24" s="37" t="inlineStr">
        <is>
          <t>Travel</t>
        </is>
      </c>
      <c r="C24" s="38">
        <f>SUMIFS('Expense Log'!$E:$E,'Expense Log'!$D:$D,"Travel",'Expense Log'!$B:$B,"&gt;="&amp;DATE(2024,1,1),'Expense Log'!$B:$B,"&lt;"&amp;DATE(2024,2,1))</f>
        <v/>
      </c>
      <c r="D24" s="38">
        <f>SUMIFS('Expense Log'!$E:$E,'Expense Log'!$D:$D,"Travel",'Expense Log'!$B:$B,"&gt;="&amp;DATE(2024,2,1),'Expense Log'!$B:$B,"&lt;"&amp;DATE(2024,3,1))</f>
        <v/>
      </c>
      <c r="E24" s="38">
        <f>SUMIFS('Expense Log'!$E:$E,'Expense Log'!$D:$D,"Travel",'Expense Log'!$B:$B,"&gt;="&amp;DATE(2024,3,1),'Expense Log'!$B:$B,"&lt;"&amp;DATE(2024,4,1))</f>
        <v/>
      </c>
      <c r="F24" s="38">
        <f>SUMIFS('Expense Log'!$E:$E,'Expense Log'!$D:$D,"Travel",'Expense Log'!$B:$B,"&gt;="&amp;DATE(2024,4,1),'Expense Log'!$B:$B,"&lt;"&amp;DATE(2024,5,1))</f>
        <v/>
      </c>
      <c r="G24" s="38">
        <f>SUMIFS('Expense Log'!$E:$E,'Expense Log'!$D:$D,"Travel",'Expense Log'!$B:$B,"&gt;="&amp;DATE(2024,5,1),'Expense Log'!$B:$B,"&lt;"&amp;DATE(2024,6,1))</f>
        <v/>
      </c>
      <c r="H24" s="38">
        <f>SUMIFS('Expense Log'!$E:$E,'Expense Log'!$D:$D,"Travel",'Expense Log'!$B:$B,"&gt;="&amp;DATE(2024,6,1),'Expense Log'!$B:$B,"&lt;"&amp;DATE(2024,7,1))</f>
        <v/>
      </c>
      <c r="I24" s="38">
        <f>SUMIFS('Expense Log'!$E:$E,'Expense Log'!$D:$D,"Travel",'Expense Log'!$B:$B,"&gt;="&amp;DATE(2024,7,1),'Expense Log'!$B:$B,"&lt;"&amp;DATE(2024,8,1))</f>
        <v/>
      </c>
      <c r="J24" s="38">
        <f>SUMIFS('Expense Log'!$E:$E,'Expense Log'!$D:$D,"Travel",'Expense Log'!$B:$B,"&gt;="&amp;DATE(2024,8,1),'Expense Log'!$B:$B,"&lt;"&amp;DATE(2024,9,1))</f>
        <v/>
      </c>
      <c r="K24" s="38">
        <f>SUMIFS('Expense Log'!$E:$E,'Expense Log'!$D:$D,"Travel",'Expense Log'!$B:$B,"&gt;="&amp;DATE(2024,9,1),'Expense Log'!$B:$B,"&lt;"&amp;DATE(2024,10,1))</f>
        <v/>
      </c>
      <c r="L24" s="38">
        <f>SUMIFS('Expense Log'!$E:$E,'Expense Log'!$D:$D,"Travel",'Expense Log'!$B:$B,"&gt;="&amp;DATE(2024,10,1),'Expense Log'!$B:$B,"&lt;"&amp;DATE(2024,11,1))</f>
        <v/>
      </c>
      <c r="M24" s="38">
        <f>SUMIFS('Expense Log'!$E:$E,'Expense Log'!$D:$D,"Travel",'Expense Log'!$B:$B,"&gt;="&amp;DATE(2024,11,1),'Expense Log'!$B:$B,"&lt;"&amp;DATE(2024,12,1))</f>
        <v/>
      </c>
      <c r="N24" s="38">
        <f>SUMIFS('Expense Log'!$E:$E,'Expense Log'!$D:$D,"Travel",'Expense Log'!$B:$B,"&gt;="&amp;DATE(2024,12,1),'Expense Log'!$B:$B,"&lt;"&amp;DATE(2025,1,1))</f>
        <v/>
      </c>
      <c r="O24" s="39">
        <f>SUM(C24:N24)</f>
        <v/>
      </c>
    </row>
    <row r="25" ht="20" customHeight="1">
      <c r="B25" s="40" t="inlineStr">
        <is>
          <t>Savings and Investments</t>
        </is>
      </c>
      <c r="C25" s="24">
        <f>SUMIFS('Expense Log'!$E:$E,'Expense Log'!$D:$D,"Savings and Investments",'Expense Log'!$B:$B,"&gt;="&amp;DATE(2024,1,1),'Expense Log'!$B:$B,"&lt;"&amp;DATE(2024,2,1))</f>
        <v/>
      </c>
      <c r="D25" s="24">
        <f>SUMIFS('Expense Log'!$E:$E,'Expense Log'!$D:$D,"Savings and Investments",'Expense Log'!$B:$B,"&gt;="&amp;DATE(2024,2,1),'Expense Log'!$B:$B,"&lt;"&amp;DATE(2024,3,1))</f>
        <v/>
      </c>
      <c r="E25" s="24">
        <f>SUMIFS('Expense Log'!$E:$E,'Expense Log'!$D:$D,"Savings and Investments",'Expense Log'!$B:$B,"&gt;="&amp;DATE(2024,3,1),'Expense Log'!$B:$B,"&lt;"&amp;DATE(2024,4,1))</f>
        <v/>
      </c>
      <c r="F25" s="24">
        <f>SUMIFS('Expense Log'!$E:$E,'Expense Log'!$D:$D,"Savings and Investments",'Expense Log'!$B:$B,"&gt;="&amp;DATE(2024,4,1),'Expense Log'!$B:$B,"&lt;"&amp;DATE(2024,5,1))</f>
        <v/>
      </c>
      <c r="G25" s="24">
        <f>SUMIFS('Expense Log'!$E:$E,'Expense Log'!$D:$D,"Savings and Investments",'Expense Log'!$B:$B,"&gt;="&amp;DATE(2024,5,1),'Expense Log'!$B:$B,"&lt;"&amp;DATE(2024,6,1))</f>
        <v/>
      </c>
      <c r="H25" s="24">
        <f>SUMIFS('Expense Log'!$E:$E,'Expense Log'!$D:$D,"Savings and Investments",'Expense Log'!$B:$B,"&gt;="&amp;DATE(2024,6,1),'Expense Log'!$B:$B,"&lt;"&amp;DATE(2024,7,1))</f>
        <v/>
      </c>
      <c r="I25" s="24">
        <f>SUMIFS('Expense Log'!$E:$E,'Expense Log'!$D:$D,"Savings and Investments",'Expense Log'!$B:$B,"&gt;="&amp;DATE(2024,7,1),'Expense Log'!$B:$B,"&lt;"&amp;DATE(2024,8,1))</f>
        <v/>
      </c>
      <c r="J25" s="24">
        <f>SUMIFS('Expense Log'!$E:$E,'Expense Log'!$D:$D,"Savings and Investments",'Expense Log'!$B:$B,"&gt;="&amp;DATE(2024,8,1),'Expense Log'!$B:$B,"&lt;"&amp;DATE(2024,9,1))</f>
        <v/>
      </c>
      <c r="K25" s="24">
        <f>SUMIFS('Expense Log'!$E:$E,'Expense Log'!$D:$D,"Savings and Investments",'Expense Log'!$B:$B,"&gt;="&amp;DATE(2024,9,1),'Expense Log'!$B:$B,"&lt;"&amp;DATE(2024,10,1))</f>
        <v/>
      </c>
      <c r="L25" s="24">
        <f>SUMIFS('Expense Log'!$E:$E,'Expense Log'!$D:$D,"Savings and Investments",'Expense Log'!$B:$B,"&gt;="&amp;DATE(2024,10,1),'Expense Log'!$B:$B,"&lt;"&amp;DATE(2024,11,1))</f>
        <v/>
      </c>
      <c r="M25" s="24">
        <f>SUMIFS('Expense Log'!$E:$E,'Expense Log'!$D:$D,"Savings and Investments",'Expense Log'!$B:$B,"&gt;="&amp;DATE(2024,11,1),'Expense Log'!$B:$B,"&lt;"&amp;DATE(2024,12,1))</f>
        <v/>
      </c>
      <c r="N25" s="24">
        <f>SUMIFS('Expense Log'!$E:$E,'Expense Log'!$D:$D,"Savings and Investments",'Expense Log'!$B:$B,"&gt;="&amp;DATE(2024,12,1),'Expense Log'!$B:$B,"&lt;"&amp;DATE(2025,1,1))</f>
        <v/>
      </c>
      <c r="O25" s="39">
        <f>SUM(C25:N25)</f>
        <v/>
      </c>
    </row>
    <row r="26" ht="20" customHeight="1">
      <c r="B26" s="37" t="inlineStr">
        <is>
          <t>Miscellaneous</t>
        </is>
      </c>
      <c r="C26" s="38">
        <f>SUMIFS('Expense Log'!$E:$E,'Expense Log'!$D:$D,"Miscellaneous",'Expense Log'!$B:$B,"&gt;="&amp;DATE(2024,1,1),'Expense Log'!$B:$B,"&lt;"&amp;DATE(2024,2,1))</f>
        <v/>
      </c>
      <c r="D26" s="38">
        <f>SUMIFS('Expense Log'!$E:$E,'Expense Log'!$D:$D,"Miscellaneous",'Expense Log'!$B:$B,"&gt;="&amp;DATE(2024,2,1),'Expense Log'!$B:$B,"&lt;"&amp;DATE(2024,3,1))</f>
        <v/>
      </c>
      <c r="E26" s="38">
        <f>SUMIFS('Expense Log'!$E:$E,'Expense Log'!$D:$D,"Miscellaneous",'Expense Log'!$B:$B,"&gt;="&amp;DATE(2024,3,1),'Expense Log'!$B:$B,"&lt;"&amp;DATE(2024,4,1))</f>
        <v/>
      </c>
      <c r="F26" s="38">
        <f>SUMIFS('Expense Log'!$E:$E,'Expense Log'!$D:$D,"Miscellaneous",'Expense Log'!$B:$B,"&gt;="&amp;DATE(2024,4,1),'Expense Log'!$B:$B,"&lt;"&amp;DATE(2024,5,1))</f>
        <v/>
      </c>
      <c r="G26" s="38">
        <f>SUMIFS('Expense Log'!$E:$E,'Expense Log'!$D:$D,"Miscellaneous",'Expense Log'!$B:$B,"&gt;="&amp;DATE(2024,5,1),'Expense Log'!$B:$B,"&lt;"&amp;DATE(2024,6,1))</f>
        <v/>
      </c>
      <c r="H26" s="38">
        <f>SUMIFS('Expense Log'!$E:$E,'Expense Log'!$D:$D,"Miscellaneous",'Expense Log'!$B:$B,"&gt;="&amp;DATE(2024,6,1),'Expense Log'!$B:$B,"&lt;"&amp;DATE(2024,7,1))</f>
        <v/>
      </c>
      <c r="I26" s="38">
        <f>SUMIFS('Expense Log'!$E:$E,'Expense Log'!$D:$D,"Miscellaneous",'Expense Log'!$B:$B,"&gt;="&amp;DATE(2024,7,1),'Expense Log'!$B:$B,"&lt;"&amp;DATE(2024,8,1))</f>
        <v/>
      </c>
      <c r="J26" s="38">
        <f>SUMIFS('Expense Log'!$E:$E,'Expense Log'!$D:$D,"Miscellaneous",'Expense Log'!$B:$B,"&gt;="&amp;DATE(2024,8,1),'Expense Log'!$B:$B,"&lt;"&amp;DATE(2024,9,1))</f>
        <v/>
      </c>
      <c r="K26" s="38">
        <f>SUMIFS('Expense Log'!$E:$E,'Expense Log'!$D:$D,"Miscellaneous",'Expense Log'!$B:$B,"&gt;="&amp;DATE(2024,9,1),'Expense Log'!$B:$B,"&lt;"&amp;DATE(2024,10,1))</f>
        <v/>
      </c>
      <c r="L26" s="38">
        <f>SUMIFS('Expense Log'!$E:$E,'Expense Log'!$D:$D,"Miscellaneous",'Expense Log'!$B:$B,"&gt;="&amp;DATE(2024,10,1),'Expense Log'!$B:$B,"&lt;"&amp;DATE(2024,11,1))</f>
        <v/>
      </c>
      <c r="M26" s="38">
        <f>SUMIFS('Expense Log'!$E:$E,'Expense Log'!$D:$D,"Miscellaneous",'Expense Log'!$B:$B,"&gt;="&amp;DATE(2024,11,1),'Expense Log'!$B:$B,"&lt;"&amp;DATE(2024,12,1))</f>
        <v/>
      </c>
      <c r="N26" s="38">
        <f>SUMIFS('Expense Log'!$E:$E,'Expense Log'!$D:$D,"Miscellaneous",'Expense Log'!$B:$B,"&gt;="&amp;DATE(2024,12,1),'Expense Log'!$B:$B,"&lt;"&amp;DATE(2025,1,1))</f>
        <v/>
      </c>
      <c r="O26" s="39">
        <f>SUM(C26:N26)</f>
        <v/>
      </c>
    </row>
    <row r="27" ht="24" customHeight="1">
      <c r="B27" s="41" t="inlineStr">
        <is>
          <t>TOTAL EXPENSES</t>
        </is>
      </c>
      <c r="C27" s="42">
        <f>SUM(C16:C26)</f>
        <v/>
      </c>
      <c r="D27" s="42">
        <f>SUM(D16:D26)</f>
        <v/>
      </c>
      <c r="E27" s="42">
        <f>SUM(E16:E26)</f>
        <v/>
      </c>
      <c r="F27" s="42">
        <f>SUM(F16:F26)</f>
        <v/>
      </c>
      <c r="G27" s="42">
        <f>SUM(G16:G26)</f>
        <v/>
      </c>
      <c r="H27" s="42">
        <f>SUM(H16:H26)</f>
        <v/>
      </c>
      <c r="I27" s="42">
        <f>SUM(I16:I26)</f>
        <v/>
      </c>
      <c r="J27" s="42">
        <f>SUM(J16:J26)</f>
        <v/>
      </c>
      <c r="K27" s="42">
        <f>SUM(K16:K26)</f>
        <v/>
      </c>
      <c r="L27" s="42">
        <f>SUM(L16:L26)</f>
        <v/>
      </c>
      <c r="M27" s="42">
        <f>SUM(M16:M26)</f>
        <v/>
      </c>
      <c r="N27" s="42">
        <f>SUM(N16:N26)</f>
        <v/>
      </c>
      <c r="O27" s="42">
        <f>SUM(O16:O26)</f>
        <v/>
      </c>
    </row>
    <row r="28" ht="10" customHeight="1"/>
    <row r="29" ht="24" customHeight="1">
      <c r="B29" s="25" t="inlineStr">
        <is>
          <t>NET SAVINGS</t>
        </is>
      </c>
      <c r="C29" s="43">
        <f>C12-C27</f>
        <v/>
      </c>
      <c r="D29" s="43">
        <f>D12-D27</f>
        <v/>
      </c>
      <c r="E29" s="43">
        <f>E12-E27</f>
        <v/>
      </c>
      <c r="F29" s="43">
        <f>F12-F27</f>
        <v/>
      </c>
      <c r="G29" s="43">
        <f>G12-G27</f>
        <v/>
      </c>
      <c r="H29" s="43">
        <f>H12-H27</f>
        <v/>
      </c>
      <c r="I29" s="43">
        <f>I12-I27</f>
        <v/>
      </c>
      <c r="J29" s="43">
        <f>J12-J27</f>
        <v/>
      </c>
      <c r="K29" s="43">
        <f>K12-K27</f>
        <v/>
      </c>
      <c r="L29" s="43">
        <f>L12-L27</f>
        <v/>
      </c>
      <c r="M29" s="43">
        <f>M12-M27</f>
        <v/>
      </c>
      <c r="N29" s="43">
        <f>N12-N27</f>
        <v/>
      </c>
      <c r="O29" s="43">
        <f>O12-O27</f>
        <v/>
      </c>
    </row>
    <row r="30" ht="22" customHeight="1">
      <c r="B30" s="25" t="inlineStr">
        <is>
          <t>SAVINGS RATE</t>
        </is>
      </c>
      <c r="C30" s="44">
        <f>IF(C12=0,0,C29/C12)</f>
        <v/>
      </c>
      <c r="D30" s="44">
        <f>IF(D12=0,0,D29/D12)</f>
        <v/>
      </c>
      <c r="E30" s="44">
        <f>IF(E12=0,0,E29/E12)</f>
        <v/>
      </c>
      <c r="F30" s="44">
        <f>IF(F12=0,0,F29/F12)</f>
        <v/>
      </c>
      <c r="G30" s="44">
        <f>IF(G12=0,0,G29/G12)</f>
        <v/>
      </c>
      <c r="H30" s="44">
        <f>IF(H12=0,0,H29/H12)</f>
        <v/>
      </c>
      <c r="I30" s="44">
        <f>IF(I12=0,0,I29/I12)</f>
        <v/>
      </c>
      <c r="J30" s="44">
        <f>IF(J12=0,0,J29/J12)</f>
        <v/>
      </c>
      <c r="K30" s="44">
        <f>IF(K12=0,0,K29/K12)</f>
        <v/>
      </c>
      <c r="L30" s="44">
        <f>IF(L12=0,0,L29/L12)</f>
        <v/>
      </c>
      <c r="M30" s="44">
        <f>IF(M12=0,0,M29/M12)</f>
        <v/>
      </c>
      <c r="N30" s="44">
        <f>IF(N12=0,0,N29/N12)</f>
        <v/>
      </c>
      <c r="O30" s="44">
        <f>IF(O12=0,0,O29/O12)</f>
        <v/>
      </c>
    </row>
  </sheetData>
  <mergeCells count="4">
    <mergeCell ref="B1:O1"/>
    <mergeCell ref="B14:O14"/>
    <mergeCell ref="B2:O2"/>
    <mergeCell ref="B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0006"/>
    <outlinePr summaryBelow="1" summaryRight="1"/>
    <pageSetUpPr/>
  </sheetPr>
  <dimension ref="B1:G2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32" customWidth="1" min="3" max="3"/>
    <col width="24" customWidth="1" min="4" max="4"/>
    <col width="16" customWidth="1" min="5" max="5"/>
    <col width="18" customWidth="1" min="6" max="6"/>
    <col width="28" customWidth="1" min="7" max="7"/>
    <col width="2" customWidth="1" min="8" max="8"/>
  </cols>
  <sheetData>
    <row r="1" ht="36" customHeight="1">
      <c r="B1" s="45" t="inlineStr">
        <is>
          <t>EXPENSE LOG  -  Enter every expense here</t>
        </is>
      </c>
    </row>
    <row r="2" ht="30" customHeight="1">
      <c r="B2" s="46" t="inlineStr">
        <is>
          <t>Total Expenses Logged:</t>
        </is>
      </c>
      <c r="E2" s="47">
        <f>SUM(E5:E9999)</f>
        <v/>
      </c>
    </row>
    <row r="3" ht="18" customHeight="1">
      <c r="B3" s="48" t="inlineStr">
        <is>
          <t>Date format: 2024-MM-DD  |  Use dropdown for Category  |  Amount in numbers only (no symbols or commas)</t>
        </is>
      </c>
    </row>
    <row r="4" ht="22" customHeight="1">
      <c r="B4" s="36" t="inlineStr">
        <is>
          <t>Date</t>
        </is>
      </c>
      <c r="C4" s="36" t="inlineStr">
        <is>
          <t>Description</t>
        </is>
      </c>
      <c r="D4" s="36" t="inlineStr">
        <is>
          <t>Category</t>
        </is>
      </c>
      <c r="E4" s="36" t="inlineStr">
        <is>
          <t>Amount</t>
        </is>
      </c>
      <c r="F4" s="36" t="inlineStr">
        <is>
          <t>Payment Method</t>
        </is>
      </c>
      <c r="G4" s="36" t="inlineStr">
        <is>
          <t>Notes</t>
        </is>
      </c>
    </row>
    <row r="5" ht="20" customHeight="1">
      <c r="B5" s="49" t="n">
        <v>45292</v>
      </c>
      <c r="C5" s="20" t="inlineStr">
        <is>
          <t>Monthly rent</t>
        </is>
      </c>
      <c r="D5" s="20" t="inlineStr">
        <is>
          <t>Housing</t>
        </is>
      </c>
      <c r="E5" s="21" t="n">
        <v>18000</v>
      </c>
      <c r="F5" s="50" t="inlineStr">
        <is>
          <t>Net Banking</t>
        </is>
      </c>
      <c r="G5" s="20" t="inlineStr">
        <is>
          <t>January</t>
        </is>
      </c>
    </row>
    <row r="6" ht="20" customHeight="1">
      <c r="B6" s="51" t="n">
        <v>45294</v>
      </c>
      <c r="C6" s="23" t="inlineStr">
        <is>
          <t>Swiggy dinner</t>
        </is>
      </c>
      <c r="D6" s="23" t="inlineStr">
        <is>
          <t>Food and Groceries</t>
        </is>
      </c>
      <c r="E6" s="24" t="n">
        <v>450</v>
      </c>
      <c r="F6" s="52" t="inlineStr">
        <is>
          <t>UPI GPay</t>
        </is>
      </c>
      <c r="G6" s="23" t="inlineStr"/>
    </row>
    <row r="7" ht="20" customHeight="1">
      <c r="B7" s="49" t="n">
        <v>45296</v>
      </c>
      <c r="C7" s="20" t="inlineStr">
        <is>
          <t>Metro card recharge</t>
        </is>
      </c>
      <c r="D7" s="20" t="inlineStr">
        <is>
          <t>Transport</t>
        </is>
      </c>
      <c r="E7" s="21" t="n">
        <v>500</v>
      </c>
      <c r="F7" s="50" t="inlineStr">
        <is>
          <t>UPI GPay</t>
        </is>
      </c>
      <c r="G7" s="20" t="inlineStr">
        <is>
          <t>Monthly pass</t>
        </is>
      </c>
    </row>
    <row r="8" ht="20" customHeight="1">
      <c r="B8" s="51" t="n">
        <v>45297</v>
      </c>
      <c r="C8" s="23" t="inlineStr">
        <is>
          <t>Big Basket groceries</t>
        </is>
      </c>
      <c r="D8" s="23" t="inlineStr">
        <is>
          <t>Food and Groceries</t>
        </is>
      </c>
      <c r="E8" s="24" t="n">
        <v>3200</v>
      </c>
      <c r="F8" s="52" t="inlineStr">
        <is>
          <t>Credit Card</t>
        </is>
      </c>
      <c r="G8" s="23" t="inlineStr"/>
    </row>
    <row r="9" ht="20" customHeight="1">
      <c r="B9" s="49" t="n">
        <v>45298</v>
      </c>
      <c r="C9" s="20" t="inlineStr">
        <is>
          <t>Netflix subscription</t>
        </is>
      </c>
      <c r="D9" s="20" t="inlineStr">
        <is>
          <t>Subscriptions</t>
        </is>
      </c>
      <c r="E9" s="21" t="n">
        <v>499</v>
      </c>
      <c r="F9" s="50" t="inlineStr">
        <is>
          <t>Auto-Debit</t>
        </is>
      </c>
      <c r="G9" s="20" t="inlineStr"/>
    </row>
    <row r="10" ht="20" customHeight="1">
      <c r="B10" s="51" t="n">
        <v>45301</v>
      </c>
      <c r="C10" s="23" t="inlineStr">
        <is>
          <t>Petrol</t>
        </is>
      </c>
      <c r="D10" s="23" t="inlineStr">
        <is>
          <t>Transport</t>
        </is>
      </c>
      <c r="E10" s="24" t="n">
        <v>1100</v>
      </c>
      <c r="F10" s="52" t="inlineStr">
        <is>
          <t>Debit Card</t>
        </is>
      </c>
      <c r="G10" s="23" t="inlineStr"/>
    </row>
    <row r="11" ht="20" customHeight="1">
      <c r="B11" s="49" t="n">
        <v>45303</v>
      </c>
      <c r="C11" s="20" t="inlineStr">
        <is>
          <t>Doctor consultation</t>
        </is>
      </c>
      <c r="D11" s="20" t="inlineStr">
        <is>
          <t>Health and Medical</t>
        </is>
      </c>
      <c r="E11" s="21" t="n">
        <v>700</v>
      </c>
      <c r="F11" s="50" t="inlineStr">
        <is>
          <t>Cash</t>
        </is>
      </c>
      <c r="G11" s="20" t="inlineStr"/>
    </row>
    <row r="12" ht="20" customHeight="1">
      <c r="B12" s="51" t="n">
        <v>45306</v>
      </c>
      <c r="C12" s="23" t="inlineStr">
        <is>
          <t>Udemy Python course</t>
        </is>
      </c>
      <c r="D12" s="23" t="inlineStr">
        <is>
          <t>Education</t>
        </is>
      </c>
      <c r="E12" s="24" t="n">
        <v>499</v>
      </c>
      <c r="F12" s="52" t="inlineStr">
        <is>
          <t>Credit Card</t>
        </is>
      </c>
      <c r="G12" s="23" t="inlineStr"/>
    </row>
    <row r="13" ht="20" customHeight="1">
      <c r="B13" s="49" t="n">
        <v>45309</v>
      </c>
      <c r="C13" s="20" t="inlineStr">
        <is>
          <t>SIP NIFTY 50</t>
        </is>
      </c>
      <c r="D13" s="20" t="inlineStr">
        <is>
          <t>Savings and Investments</t>
        </is>
      </c>
      <c r="E13" s="21" t="n">
        <v>5000</v>
      </c>
      <c r="F13" s="50" t="inlineStr">
        <is>
          <t>Auto-Debit</t>
        </is>
      </c>
      <c r="G13" s="20" t="inlineStr">
        <is>
          <t>Index fund</t>
        </is>
      </c>
    </row>
    <row r="14" ht="20" customHeight="1">
      <c r="B14" s="51" t="n">
        <v>45311</v>
      </c>
      <c r="C14" s="23" t="inlineStr">
        <is>
          <t>Movie tickets x2</t>
        </is>
      </c>
      <c r="D14" s="23" t="inlineStr">
        <is>
          <t>Entertainment</t>
        </is>
      </c>
      <c r="E14" s="24" t="n">
        <v>600</v>
      </c>
      <c r="F14" s="52" t="inlineStr">
        <is>
          <t>UPI GPay</t>
        </is>
      </c>
      <c r="G14" s="23" t="inlineStr"/>
    </row>
    <row r="15" ht="20" customHeight="1">
      <c r="B15" s="49" t="n">
        <v>45323</v>
      </c>
      <c r="C15" s="20" t="inlineStr">
        <is>
          <t>Monthly rent</t>
        </is>
      </c>
      <c r="D15" s="20" t="inlineStr">
        <is>
          <t>Housing</t>
        </is>
      </c>
      <c r="E15" s="21" t="n">
        <v>18000</v>
      </c>
      <c r="F15" s="50" t="inlineStr">
        <is>
          <t>Net Banking</t>
        </is>
      </c>
      <c r="G15" s="20" t="inlineStr">
        <is>
          <t>February</t>
        </is>
      </c>
    </row>
    <row r="16" ht="20" customHeight="1">
      <c r="B16" s="51" t="n">
        <v>45326</v>
      </c>
      <c r="C16" s="23" t="inlineStr">
        <is>
          <t>Grocery store</t>
        </is>
      </c>
      <c r="D16" s="23" t="inlineStr">
        <is>
          <t>Food and Groceries</t>
        </is>
      </c>
      <c r="E16" s="24" t="n">
        <v>2800</v>
      </c>
      <c r="F16" s="52" t="inlineStr">
        <is>
          <t>Debit Card</t>
        </is>
      </c>
      <c r="G16" s="23" t="inlineStr"/>
    </row>
    <row r="17" ht="20" customHeight="1">
      <c r="B17" s="49" t="n">
        <v>45330</v>
      </c>
      <c r="C17" s="20" t="inlineStr">
        <is>
          <t>Emergency fund SIP</t>
        </is>
      </c>
      <c r="D17" s="20" t="inlineStr">
        <is>
          <t>Savings and Investments</t>
        </is>
      </c>
      <c r="E17" s="21" t="n">
        <v>3000</v>
      </c>
      <c r="F17" s="50" t="inlineStr">
        <is>
          <t>Auto-Debit</t>
        </is>
      </c>
      <c r="G17" s="20" t="inlineStr"/>
    </row>
    <row r="18" ht="20" customHeight="1">
      <c r="B18" s="51" t="n">
        <v>45337</v>
      </c>
      <c r="C18" s="23" t="inlineStr">
        <is>
          <t>T-shirts x3</t>
        </is>
      </c>
      <c r="D18" s="23" t="inlineStr">
        <is>
          <t>Shopping</t>
        </is>
      </c>
      <c r="E18" s="24" t="n">
        <v>1200</v>
      </c>
      <c r="F18" s="52" t="inlineStr">
        <is>
          <t>Credit Card</t>
        </is>
      </c>
      <c r="G18" s="23" t="inlineStr"/>
    </row>
    <row r="19" ht="20" customHeight="1">
      <c r="B19" s="49" t="n">
        <v>45352</v>
      </c>
      <c r="C19" s="20" t="inlineStr">
        <is>
          <t>Monthly rent</t>
        </is>
      </c>
      <c r="D19" s="20" t="inlineStr">
        <is>
          <t>Housing</t>
        </is>
      </c>
      <c r="E19" s="21" t="n">
        <v>18000</v>
      </c>
      <c r="F19" s="50" t="inlineStr">
        <is>
          <t>Net Banking</t>
        </is>
      </c>
      <c r="G19" s="20" t="inlineStr">
        <is>
          <t>March</t>
        </is>
      </c>
    </row>
    <row r="20" ht="20" customHeight="1">
      <c r="B20" s="53" t="n"/>
      <c r="C20" s="54" t="n"/>
      <c r="D20" s="54" t="n"/>
      <c r="E20" s="55" t="n"/>
      <c r="F20" s="54" t="n"/>
      <c r="G20" s="54" t="n"/>
    </row>
    <row r="21" ht="20" customHeight="1">
      <c r="B21" s="56" t="n"/>
      <c r="C21" s="57" t="n"/>
      <c r="D21" s="57" t="n"/>
      <c r="E21" s="58" t="n"/>
      <c r="F21" s="57" t="n"/>
      <c r="G21" s="57" t="n"/>
    </row>
    <row r="22" ht="20" customHeight="1">
      <c r="B22" s="53" t="n"/>
      <c r="C22" s="54" t="n"/>
      <c r="D22" s="54" t="n"/>
      <c r="E22" s="55" t="n"/>
      <c r="F22" s="54" t="n"/>
      <c r="G22" s="54" t="n"/>
    </row>
    <row r="23" ht="20" customHeight="1">
      <c r="B23" s="56" t="n"/>
      <c r="C23" s="57" t="n"/>
      <c r="D23" s="57" t="n"/>
      <c r="E23" s="58" t="n"/>
      <c r="F23" s="57" t="n"/>
      <c r="G23" s="57" t="n"/>
    </row>
    <row r="24" ht="20" customHeight="1">
      <c r="B24" s="53" t="n"/>
      <c r="C24" s="54" t="n"/>
      <c r="D24" s="54" t="n"/>
      <c r="E24" s="55" t="n"/>
      <c r="F24" s="54" t="n"/>
      <c r="G24" s="54" t="n"/>
    </row>
    <row r="25" ht="20" customHeight="1">
      <c r="B25" s="56" t="n"/>
      <c r="C25" s="57" t="n"/>
      <c r="D25" s="57" t="n"/>
      <c r="E25" s="58" t="n"/>
      <c r="F25" s="57" t="n"/>
      <c r="G25" s="57" t="n"/>
    </row>
    <row r="26" ht="20" customHeight="1">
      <c r="B26" s="53" t="n"/>
      <c r="C26" s="54" t="n"/>
      <c r="D26" s="54" t="n"/>
      <c r="E26" s="55" t="n"/>
      <c r="F26" s="54" t="n"/>
      <c r="G26" s="54" t="n"/>
    </row>
    <row r="27" ht="20" customHeight="1">
      <c r="B27" s="56" t="n"/>
      <c r="C27" s="57" t="n"/>
      <c r="D27" s="57" t="n"/>
      <c r="E27" s="58" t="n"/>
      <c r="F27" s="57" t="n"/>
      <c r="G27" s="57" t="n"/>
    </row>
    <row r="28" ht="20" customHeight="1">
      <c r="B28" s="53" t="n"/>
      <c r="C28" s="54" t="n"/>
      <c r="D28" s="54" t="n"/>
      <c r="E28" s="55" t="n"/>
      <c r="F28" s="54" t="n"/>
      <c r="G28" s="54" t="n"/>
    </row>
    <row r="29" ht="20" customHeight="1">
      <c r="B29" s="56" t="n"/>
      <c r="C29" s="57" t="n"/>
      <c r="D29" s="57" t="n"/>
      <c r="E29" s="58" t="n"/>
      <c r="F29" s="57" t="n"/>
      <c r="G29" s="57" t="n"/>
    </row>
    <row r="30" ht="20" customHeight="1">
      <c r="B30" s="53" t="n"/>
      <c r="C30" s="54" t="n"/>
      <c r="D30" s="54" t="n"/>
      <c r="E30" s="55" t="n"/>
      <c r="F30" s="54" t="n"/>
      <c r="G30" s="54" t="n"/>
    </row>
    <row r="31" ht="20" customHeight="1">
      <c r="B31" s="56" t="n"/>
      <c r="C31" s="57" t="n"/>
      <c r="D31" s="57" t="n"/>
      <c r="E31" s="58" t="n"/>
      <c r="F31" s="57" t="n"/>
      <c r="G31" s="57" t="n"/>
    </row>
    <row r="32" ht="20" customHeight="1">
      <c r="B32" s="53" t="n"/>
      <c r="C32" s="54" t="n"/>
      <c r="D32" s="54" t="n"/>
      <c r="E32" s="55" t="n"/>
      <c r="F32" s="54" t="n"/>
      <c r="G32" s="54" t="n"/>
    </row>
    <row r="33" ht="20" customHeight="1">
      <c r="B33" s="56" t="n"/>
      <c r="C33" s="57" t="n"/>
      <c r="D33" s="57" t="n"/>
      <c r="E33" s="58" t="n"/>
      <c r="F33" s="57" t="n"/>
      <c r="G33" s="57" t="n"/>
    </row>
    <row r="34" ht="20" customHeight="1">
      <c r="B34" s="53" t="n"/>
      <c r="C34" s="54" t="n"/>
      <c r="D34" s="54" t="n"/>
      <c r="E34" s="55" t="n"/>
      <c r="F34" s="54" t="n"/>
      <c r="G34" s="54" t="n"/>
    </row>
    <row r="35" ht="20" customHeight="1">
      <c r="B35" s="56" t="n"/>
      <c r="C35" s="57" t="n"/>
      <c r="D35" s="57" t="n"/>
      <c r="E35" s="58" t="n"/>
      <c r="F35" s="57" t="n"/>
      <c r="G35" s="57" t="n"/>
    </row>
    <row r="36" ht="20" customHeight="1">
      <c r="B36" s="53" t="n"/>
      <c r="C36" s="54" t="n"/>
      <c r="D36" s="54" t="n"/>
      <c r="E36" s="55" t="n"/>
      <c r="F36" s="54" t="n"/>
      <c r="G36" s="54" t="n"/>
    </row>
    <row r="37" ht="20" customHeight="1">
      <c r="B37" s="56" t="n"/>
      <c r="C37" s="57" t="n"/>
      <c r="D37" s="57" t="n"/>
      <c r="E37" s="58" t="n"/>
      <c r="F37" s="57" t="n"/>
      <c r="G37" s="57" t="n"/>
    </row>
    <row r="38" ht="20" customHeight="1">
      <c r="B38" s="53" t="n"/>
      <c r="C38" s="54" t="n"/>
      <c r="D38" s="54" t="n"/>
      <c r="E38" s="55" t="n"/>
      <c r="F38" s="54" t="n"/>
      <c r="G38" s="54" t="n"/>
    </row>
    <row r="39" ht="20" customHeight="1">
      <c r="B39" s="56" t="n"/>
      <c r="C39" s="57" t="n"/>
      <c r="D39" s="57" t="n"/>
      <c r="E39" s="58" t="n"/>
      <c r="F39" s="57" t="n"/>
      <c r="G39" s="57" t="n"/>
    </row>
    <row r="40" ht="20" customHeight="1">
      <c r="B40" s="53" t="n"/>
      <c r="C40" s="54" t="n"/>
      <c r="D40" s="54" t="n"/>
      <c r="E40" s="55" t="n"/>
      <c r="F40" s="54" t="n"/>
      <c r="G40" s="54" t="n"/>
    </row>
    <row r="41" ht="20" customHeight="1">
      <c r="B41" s="56" t="n"/>
      <c r="C41" s="57" t="n"/>
      <c r="D41" s="57" t="n"/>
      <c r="E41" s="58" t="n"/>
      <c r="F41" s="57" t="n"/>
      <c r="G41" s="57" t="n"/>
    </row>
    <row r="42" ht="20" customHeight="1">
      <c r="B42" s="53" t="n"/>
      <c r="C42" s="54" t="n"/>
      <c r="D42" s="54" t="n"/>
      <c r="E42" s="55" t="n"/>
      <c r="F42" s="54" t="n"/>
      <c r="G42" s="54" t="n"/>
    </row>
    <row r="43" ht="20" customHeight="1">
      <c r="B43" s="56" t="n"/>
      <c r="C43" s="57" t="n"/>
      <c r="D43" s="57" t="n"/>
      <c r="E43" s="58" t="n"/>
      <c r="F43" s="57" t="n"/>
      <c r="G43" s="57" t="n"/>
    </row>
    <row r="44" ht="20" customHeight="1">
      <c r="B44" s="53" t="n"/>
      <c r="C44" s="54" t="n"/>
      <c r="D44" s="54" t="n"/>
      <c r="E44" s="55" t="n"/>
      <c r="F44" s="54" t="n"/>
      <c r="G44" s="54" t="n"/>
    </row>
    <row r="45" ht="20" customHeight="1">
      <c r="B45" s="56" t="n"/>
      <c r="C45" s="57" t="n"/>
      <c r="D45" s="57" t="n"/>
      <c r="E45" s="58" t="n"/>
      <c r="F45" s="57" t="n"/>
      <c r="G45" s="57" t="n"/>
    </row>
    <row r="46" ht="20" customHeight="1">
      <c r="B46" s="53" t="n"/>
      <c r="C46" s="54" t="n"/>
      <c r="D46" s="54" t="n"/>
      <c r="E46" s="55" t="n"/>
      <c r="F46" s="54" t="n"/>
      <c r="G46" s="54" t="n"/>
    </row>
    <row r="47" ht="20" customHeight="1">
      <c r="B47" s="56" t="n"/>
      <c r="C47" s="57" t="n"/>
      <c r="D47" s="57" t="n"/>
      <c r="E47" s="58" t="n"/>
      <c r="F47" s="57" t="n"/>
      <c r="G47" s="57" t="n"/>
    </row>
    <row r="48" ht="20" customHeight="1">
      <c r="B48" s="53" t="n"/>
      <c r="C48" s="54" t="n"/>
      <c r="D48" s="54" t="n"/>
      <c r="E48" s="55" t="n"/>
      <c r="F48" s="54" t="n"/>
      <c r="G48" s="54" t="n"/>
    </row>
    <row r="49" ht="20" customHeight="1">
      <c r="B49" s="56" t="n"/>
      <c r="C49" s="57" t="n"/>
      <c r="D49" s="57" t="n"/>
      <c r="E49" s="58" t="n"/>
      <c r="F49" s="57" t="n"/>
      <c r="G49" s="57" t="n"/>
    </row>
    <row r="50" ht="20" customHeight="1">
      <c r="B50" s="53" t="n"/>
      <c r="C50" s="54" t="n"/>
      <c r="D50" s="54" t="n"/>
      <c r="E50" s="55" t="n"/>
      <c r="F50" s="54" t="n"/>
      <c r="G50" s="54" t="n"/>
    </row>
    <row r="51" ht="20" customHeight="1">
      <c r="B51" s="56" t="n"/>
      <c r="C51" s="57" t="n"/>
      <c r="D51" s="57" t="n"/>
      <c r="E51" s="58" t="n"/>
      <c r="F51" s="57" t="n"/>
      <c r="G51" s="57" t="n"/>
    </row>
    <row r="52" ht="20" customHeight="1">
      <c r="B52" s="53" t="n"/>
      <c r="C52" s="54" t="n"/>
      <c r="D52" s="54" t="n"/>
      <c r="E52" s="55" t="n"/>
      <c r="F52" s="54" t="n"/>
      <c r="G52" s="54" t="n"/>
    </row>
    <row r="53" ht="20" customHeight="1">
      <c r="B53" s="56" t="n"/>
      <c r="C53" s="57" t="n"/>
      <c r="D53" s="57" t="n"/>
      <c r="E53" s="58" t="n"/>
      <c r="F53" s="57" t="n"/>
      <c r="G53" s="57" t="n"/>
    </row>
    <row r="54" ht="20" customHeight="1">
      <c r="B54" s="53" t="n"/>
      <c r="C54" s="54" t="n"/>
      <c r="D54" s="54" t="n"/>
      <c r="E54" s="55" t="n"/>
      <c r="F54" s="54" t="n"/>
      <c r="G54" s="54" t="n"/>
    </row>
    <row r="55" ht="20" customHeight="1">
      <c r="B55" s="56" t="n"/>
      <c r="C55" s="57" t="n"/>
      <c r="D55" s="57" t="n"/>
      <c r="E55" s="58" t="n"/>
      <c r="F55" s="57" t="n"/>
      <c r="G55" s="57" t="n"/>
    </row>
    <row r="56" ht="20" customHeight="1">
      <c r="B56" s="53" t="n"/>
      <c r="C56" s="54" t="n"/>
      <c r="D56" s="54" t="n"/>
      <c r="E56" s="55" t="n"/>
      <c r="F56" s="54" t="n"/>
      <c r="G56" s="54" t="n"/>
    </row>
    <row r="57" ht="20" customHeight="1">
      <c r="B57" s="56" t="n"/>
      <c r="C57" s="57" t="n"/>
      <c r="D57" s="57" t="n"/>
      <c r="E57" s="58" t="n"/>
      <c r="F57" s="57" t="n"/>
      <c r="G57" s="57" t="n"/>
    </row>
    <row r="58" ht="20" customHeight="1">
      <c r="B58" s="53" t="n"/>
      <c r="C58" s="54" t="n"/>
      <c r="D58" s="54" t="n"/>
      <c r="E58" s="55" t="n"/>
      <c r="F58" s="54" t="n"/>
      <c r="G58" s="54" t="n"/>
    </row>
    <row r="59" ht="20" customHeight="1">
      <c r="B59" s="56" t="n"/>
      <c r="C59" s="57" t="n"/>
      <c r="D59" s="57" t="n"/>
      <c r="E59" s="58" t="n"/>
      <c r="F59" s="57" t="n"/>
      <c r="G59" s="57" t="n"/>
    </row>
    <row r="60" ht="20" customHeight="1">
      <c r="B60" s="53" t="n"/>
      <c r="C60" s="54" t="n"/>
      <c r="D60" s="54" t="n"/>
      <c r="E60" s="55" t="n"/>
      <c r="F60" s="54" t="n"/>
      <c r="G60" s="54" t="n"/>
    </row>
    <row r="61" ht="20" customHeight="1">
      <c r="B61" s="56" t="n"/>
      <c r="C61" s="57" t="n"/>
      <c r="D61" s="57" t="n"/>
      <c r="E61" s="58" t="n"/>
      <c r="F61" s="57" t="n"/>
      <c r="G61" s="57" t="n"/>
    </row>
    <row r="62" ht="20" customHeight="1">
      <c r="B62" s="53" t="n"/>
      <c r="C62" s="54" t="n"/>
      <c r="D62" s="54" t="n"/>
      <c r="E62" s="55" t="n"/>
      <c r="F62" s="54" t="n"/>
      <c r="G62" s="54" t="n"/>
    </row>
    <row r="63" ht="20" customHeight="1">
      <c r="B63" s="56" t="n"/>
      <c r="C63" s="57" t="n"/>
      <c r="D63" s="57" t="n"/>
      <c r="E63" s="58" t="n"/>
      <c r="F63" s="57" t="n"/>
      <c r="G63" s="57" t="n"/>
    </row>
    <row r="64" ht="20" customHeight="1">
      <c r="B64" s="53" t="n"/>
      <c r="C64" s="54" t="n"/>
      <c r="D64" s="54" t="n"/>
      <c r="E64" s="55" t="n"/>
      <c r="F64" s="54" t="n"/>
      <c r="G64" s="54" t="n"/>
    </row>
    <row r="65" ht="20" customHeight="1">
      <c r="B65" s="56" t="n"/>
      <c r="C65" s="57" t="n"/>
      <c r="D65" s="57" t="n"/>
      <c r="E65" s="58" t="n"/>
      <c r="F65" s="57" t="n"/>
      <c r="G65" s="57" t="n"/>
    </row>
    <row r="66" ht="20" customHeight="1">
      <c r="B66" s="53" t="n"/>
      <c r="C66" s="54" t="n"/>
      <c r="D66" s="54" t="n"/>
      <c r="E66" s="55" t="n"/>
      <c r="F66" s="54" t="n"/>
      <c r="G66" s="54" t="n"/>
    </row>
    <row r="67" ht="20" customHeight="1">
      <c r="B67" s="56" t="n"/>
      <c r="C67" s="57" t="n"/>
      <c r="D67" s="57" t="n"/>
      <c r="E67" s="58" t="n"/>
      <c r="F67" s="57" t="n"/>
      <c r="G67" s="57" t="n"/>
    </row>
    <row r="68" ht="20" customHeight="1">
      <c r="B68" s="53" t="n"/>
      <c r="C68" s="54" t="n"/>
      <c r="D68" s="54" t="n"/>
      <c r="E68" s="55" t="n"/>
      <c r="F68" s="54" t="n"/>
      <c r="G68" s="54" t="n"/>
    </row>
    <row r="69" ht="20" customHeight="1">
      <c r="B69" s="56" t="n"/>
      <c r="C69" s="57" t="n"/>
      <c r="D69" s="57" t="n"/>
      <c r="E69" s="58" t="n"/>
      <c r="F69" s="57" t="n"/>
      <c r="G69" s="57" t="n"/>
    </row>
    <row r="70" ht="20" customHeight="1">
      <c r="B70" s="53" t="n"/>
      <c r="C70" s="54" t="n"/>
      <c r="D70" s="54" t="n"/>
      <c r="E70" s="55" t="n"/>
      <c r="F70" s="54" t="n"/>
      <c r="G70" s="54" t="n"/>
    </row>
    <row r="71" ht="20" customHeight="1">
      <c r="B71" s="56" t="n"/>
      <c r="C71" s="57" t="n"/>
      <c r="D71" s="57" t="n"/>
      <c r="E71" s="58" t="n"/>
      <c r="F71" s="57" t="n"/>
      <c r="G71" s="57" t="n"/>
    </row>
    <row r="72" ht="20" customHeight="1">
      <c r="B72" s="53" t="n"/>
      <c r="C72" s="54" t="n"/>
      <c r="D72" s="54" t="n"/>
      <c r="E72" s="55" t="n"/>
      <c r="F72" s="54" t="n"/>
      <c r="G72" s="54" t="n"/>
    </row>
    <row r="73" ht="20" customHeight="1">
      <c r="B73" s="56" t="n"/>
      <c r="C73" s="57" t="n"/>
      <c r="D73" s="57" t="n"/>
      <c r="E73" s="58" t="n"/>
      <c r="F73" s="57" t="n"/>
      <c r="G73" s="57" t="n"/>
    </row>
    <row r="74" ht="20" customHeight="1">
      <c r="B74" s="53" t="n"/>
      <c r="C74" s="54" t="n"/>
      <c r="D74" s="54" t="n"/>
      <c r="E74" s="55" t="n"/>
      <c r="F74" s="54" t="n"/>
      <c r="G74" s="54" t="n"/>
    </row>
    <row r="75" ht="20" customHeight="1">
      <c r="B75" s="56" t="n"/>
      <c r="C75" s="57" t="n"/>
      <c r="D75" s="57" t="n"/>
      <c r="E75" s="58" t="n"/>
      <c r="F75" s="57" t="n"/>
      <c r="G75" s="57" t="n"/>
    </row>
    <row r="76" ht="20" customHeight="1">
      <c r="B76" s="53" t="n"/>
      <c r="C76" s="54" t="n"/>
      <c r="D76" s="54" t="n"/>
      <c r="E76" s="55" t="n"/>
      <c r="F76" s="54" t="n"/>
      <c r="G76" s="54" t="n"/>
    </row>
    <row r="77" ht="20" customHeight="1">
      <c r="B77" s="56" t="n"/>
      <c r="C77" s="57" t="n"/>
      <c r="D77" s="57" t="n"/>
      <c r="E77" s="58" t="n"/>
      <c r="F77" s="57" t="n"/>
      <c r="G77" s="57" t="n"/>
    </row>
    <row r="78" ht="20" customHeight="1">
      <c r="B78" s="53" t="n"/>
      <c r="C78" s="54" t="n"/>
      <c r="D78" s="54" t="n"/>
      <c r="E78" s="55" t="n"/>
      <c r="F78" s="54" t="n"/>
      <c r="G78" s="54" t="n"/>
    </row>
    <row r="79" ht="20" customHeight="1">
      <c r="B79" s="56" t="n"/>
      <c r="C79" s="57" t="n"/>
      <c r="D79" s="57" t="n"/>
      <c r="E79" s="58" t="n"/>
      <c r="F79" s="57" t="n"/>
      <c r="G79" s="57" t="n"/>
    </row>
    <row r="80" ht="20" customHeight="1">
      <c r="B80" s="53" t="n"/>
      <c r="C80" s="54" t="n"/>
      <c r="D80" s="54" t="n"/>
      <c r="E80" s="55" t="n"/>
      <c r="F80" s="54" t="n"/>
      <c r="G80" s="54" t="n"/>
    </row>
    <row r="81" ht="20" customHeight="1">
      <c r="B81" s="56" t="n"/>
      <c r="C81" s="57" t="n"/>
      <c r="D81" s="57" t="n"/>
      <c r="E81" s="58" t="n"/>
      <c r="F81" s="57" t="n"/>
      <c r="G81" s="57" t="n"/>
    </row>
    <row r="82" ht="20" customHeight="1">
      <c r="B82" s="53" t="n"/>
      <c r="C82" s="54" t="n"/>
      <c r="D82" s="54" t="n"/>
      <c r="E82" s="55" t="n"/>
      <c r="F82" s="54" t="n"/>
      <c r="G82" s="54" t="n"/>
    </row>
    <row r="83" ht="20" customHeight="1">
      <c r="B83" s="56" t="n"/>
      <c r="C83" s="57" t="n"/>
      <c r="D83" s="57" t="n"/>
      <c r="E83" s="58" t="n"/>
      <c r="F83" s="57" t="n"/>
      <c r="G83" s="57" t="n"/>
    </row>
    <row r="84" ht="20" customHeight="1">
      <c r="B84" s="53" t="n"/>
      <c r="C84" s="54" t="n"/>
      <c r="D84" s="54" t="n"/>
      <c r="E84" s="55" t="n"/>
      <c r="F84" s="54" t="n"/>
      <c r="G84" s="54" t="n"/>
    </row>
    <row r="85" ht="20" customHeight="1">
      <c r="B85" s="56" t="n"/>
      <c r="C85" s="57" t="n"/>
      <c r="D85" s="57" t="n"/>
      <c r="E85" s="58" t="n"/>
      <c r="F85" s="57" t="n"/>
      <c r="G85" s="57" t="n"/>
    </row>
    <row r="86" ht="20" customHeight="1">
      <c r="B86" s="53" t="n"/>
      <c r="C86" s="54" t="n"/>
      <c r="D86" s="54" t="n"/>
      <c r="E86" s="55" t="n"/>
      <c r="F86" s="54" t="n"/>
      <c r="G86" s="54" t="n"/>
    </row>
    <row r="87" ht="20" customHeight="1">
      <c r="B87" s="56" t="n"/>
      <c r="C87" s="57" t="n"/>
      <c r="D87" s="57" t="n"/>
      <c r="E87" s="58" t="n"/>
      <c r="F87" s="57" t="n"/>
      <c r="G87" s="57" t="n"/>
    </row>
    <row r="88" ht="20" customHeight="1">
      <c r="B88" s="53" t="n"/>
      <c r="C88" s="54" t="n"/>
      <c r="D88" s="54" t="n"/>
      <c r="E88" s="55" t="n"/>
      <c r="F88" s="54" t="n"/>
      <c r="G88" s="54" t="n"/>
    </row>
    <row r="89" ht="20" customHeight="1">
      <c r="B89" s="56" t="n"/>
      <c r="C89" s="57" t="n"/>
      <c r="D89" s="57" t="n"/>
      <c r="E89" s="58" t="n"/>
      <c r="F89" s="57" t="n"/>
      <c r="G89" s="57" t="n"/>
    </row>
    <row r="90" ht="20" customHeight="1">
      <c r="B90" s="53" t="n"/>
      <c r="C90" s="54" t="n"/>
      <c r="D90" s="54" t="n"/>
      <c r="E90" s="55" t="n"/>
      <c r="F90" s="54" t="n"/>
      <c r="G90" s="54" t="n"/>
    </row>
    <row r="91" ht="20" customHeight="1">
      <c r="B91" s="56" t="n"/>
      <c r="C91" s="57" t="n"/>
      <c r="D91" s="57" t="n"/>
      <c r="E91" s="58" t="n"/>
      <c r="F91" s="57" t="n"/>
      <c r="G91" s="57" t="n"/>
    </row>
    <row r="92" ht="20" customHeight="1">
      <c r="B92" s="53" t="n"/>
      <c r="C92" s="54" t="n"/>
      <c r="D92" s="54" t="n"/>
      <c r="E92" s="55" t="n"/>
      <c r="F92" s="54" t="n"/>
      <c r="G92" s="54" t="n"/>
    </row>
    <row r="93" ht="20" customHeight="1">
      <c r="B93" s="56" t="n"/>
      <c r="C93" s="57" t="n"/>
      <c r="D93" s="57" t="n"/>
      <c r="E93" s="58" t="n"/>
      <c r="F93" s="57" t="n"/>
      <c r="G93" s="57" t="n"/>
    </row>
    <row r="94" ht="20" customHeight="1">
      <c r="B94" s="53" t="n"/>
      <c r="C94" s="54" t="n"/>
      <c r="D94" s="54" t="n"/>
      <c r="E94" s="55" t="n"/>
      <c r="F94" s="54" t="n"/>
      <c r="G94" s="54" t="n"/>
    </row>
    <row r="95" ht="20" customHeight="1">
      <c r="B95" s="56" t="n"/>
      <c r="C95" s="57" t="n"/>
      <c r="D95" s="57" t="n"/>
      <c r="E95" s="58" t="n"/>
      <c r="F95" s="57" t="n"/>
      <c r="G95" s="57" t="n"/>
    </row>
    <row r="96" ht="20" customHeight="1">
      <c r="B96" s="53" t="n"/>
      <c r="C96" s="54" t="n"/>
      <c r="D96" s="54" t="n"/>
      <c r="E96" s="55" t="n"/>
      <c r="F96" s="54" t="n"/>
      <c r="G96" s="54" t="n"/>
    </row>
    <row r="97" ht="20" customHeight="1">
      <c r="B97" s="56" t="n"/>
      <c r="C97" s="57" t="n"/>
      <c r="D97" s="57" t="n"/>
      <c r="E97" s="58" t="n"/>
      <c r="F97" s="57" t="n"/>
      <c r="G97" s="57" t="n"/>
    </row>
    <row r="98" ht="20" customHeight="1">
      <c r="B98" s="53" t="n"/>
      <c r="C98" s="54" t="n"/>
      <c r="D98" s="54" t="n"/>
      <c r="E98" s="55" t="n"/>
      <c r="F98" s="54" t="n"/>
      <c r="G98" s="54" t="n"/>
    </row>
    <row r="99" ht="20" customHeight="1">
      <c r="B99" s="56" t="n"/>
      <c r="C99" s="57" t="n"/>
      <c r="D99" s="57" t="n"/>
      <c r="E99" s="58" t="n"/>
      <c r="F99" s="57" t="n"/>
      <c r="G99" s="57" t="n"/>
    </row>
    <row r="100" ht="20" customHeight="1">
      <c r="B100" s="53" t="n"/>
      <c r="C100" s="54" t="n"/>
      <c r="D100" s="54" t="n"/>
      <c r="E100" s="55" t="n"/>
      <c r="F100" s="54" t="n"/>
      <c r="G100" s="54" t="n"/>
    </row>
    <row r="101" ht="20" customHeight="1">
      <c r="B101" s="56" t="n"/>
      <c r="C101" s="57" t="n"/>
      <c r="D101" s="57" t="n"/>
      <c r="E101" s="58" t="n"/>
      <c r="F101" s="57" t="n"/>
      <c r="G101" s="57" t="n"/>
    </row>
    <row r="102" ht="20" customHeight="1">
      <c r="B102" s="53" t="n"/>
      <c r="C102" s="54" t="n"/>
      <c r="D102" s="54" t="n"/>
      <c r="E102" s="55" t="n"/>
      <c r="F102" s="54" t="n"/>
      <c r="G102" s="54" t="n"/>
    </row>
    <row r="103" ht="20" customHeight="1">
      <c r="B103" s="56" t="n"/>
      <c r="C103" s="57" t="n"/>
      <c r="D103" s="57" t="n"/>
      <c r="E103" s="58" t="n"/>
      <c r="F103" s="57" t="n"/>
      <c r="G103" s="57" t="n"/>
    </row>
    <row r="104" ht="20" customHeight="1">
      <c r="B104" s="53" t="n"/>
      <c r="C104" s="54" t="n"/>
      <c r="D104" s="54" t="n"/>
      <c r="E104" s="55" t="n"/>
      <c r="F104" s="54" t="n"/>
      <c r="G104" s="54" t="n"/>
    </row>
    <row r="105" ht="20" customHeight="1">
      <c r="B105" s="56" t="n"/>
      <c r="C105" s="57" t="n"/>
      <c r="D105" s="57" t="n"/>
      <c r="E105" s="58" t="n"/>
      <c r="F105" s="57" t="n"/>
      <c r="G105" s="57" t="n"/>
    </row>
    <row r="106" ht="20" customHeight="1">
      <c r="B106" s="53" t="n"/>
      <c r="C106" s="54" t="n"/>
      <c r="D106" s="54" t="n"/>
      <c r="E106" s="55" t="n"/>
      <c r="F106" s="54" t="n"/>
      <c r="G106" s="54" t="n"/>
    </row>
    <row r="107" ht="20" customHeight="1">
      <c r="B107" s="56" t="n"/>
      <c r="C107" s="57" t="n"/>
      <c r="D107" s="57" t="n"/>
      <c r="E107" s="58" t="n"/>
      <c r="F107" s="57" t="n"/>
      <c r="G107" s="57" t="n"/>
    </row>
    <row r="108" ht="20" customHeight="1">
      <c r="B108" s="53" t="n"/>
      <c r="C108" s="54" t="n"/>
      <c r="D108" s="54" t="n"/>
      <c r="E108" s="55" t="n"/>
      <c r="F108" s="54" t="n"/>
      <c r="G108" s="54" t="n"/>
    </row>
    <row r="109" ht="20" customHeight="1">
      <c r="B109" s="56" t="n"/>
      <c r="C109" s="57" t="n"/>
      <c r="D109" s="57" t="n"/>
      <c r="E109" s="58" t="n"/>
      <c r="F109" s="57" t="n"/>
      <c r="G109" s="57" t="n"/>
    </row>
    <row r="110" ht="20" customHeight="1">
      <c r="B110" s="53" t="n"/>
      <c r="C110" s="54" t="n"/>
      <c r="D110" s="54" t="n"/>
      <c r="E110" s="55" t="n"/>
      <c r="F110" s="54" t="n"/>
      <c r="G110" s="54" t="n"/>
    </row>
    <row r="111" ht="20" customHeight="1">
      <c r="B111" s="56" t="n"/>
      <c r="C111" s="57" t="n"/>
      <c r="D111" s="57" t="n"/>
      <c r="E111" s="58" t="n"/>
      <c r="F111" s="57" t="n"/>
      <c r="G111" s="57" t="n"/>
    </row>
    <row r="112" ht="20" customHeight="1">
      <c r="B112" s="53" t="n"/>
      <c r="C112" s="54" t="n"/>
      <c r="D112" s="54" t="n"/>
      <c r="E112" s="55" t="n"/>
      <c r="F112" s="54" t="n"/>
      <c r="G112" s="54" t="n"/>
    </row>
    <row r="113" ht="20" customHeight="1">
      <c r="B113" s="56" t="n"/>
      <c r="C113" s="57" t="n"/>
      <c r="D113" s="57" t="n"/>
      <c r="E113" s="58" t="n"/>
      <c r="F113" s="57" t="n"/>
      <c r="G113" s="57" t="n"/>
    </row>
    <row r="114" ht="20" customHeight="1">
      <c r="B114" s="53" t="n"/>
      <c r="C114" s="54" t="n"/>
      <c r="D114" s="54" t="n"/>
      <c r="E114" s="55" t="n"/>
      <c r="F114" s="54" t="n"/>
      <c r="G114" s="54" t="n"/>
    </row>
    <row r="115" ht="20" customHeight="1">
      <c r="B115" s="56" t="n"/>
      <c r="C115" s="57" t="n"/>
      <c r="D115" s="57" t="n"/>
      <c r="E115" s="58" t="n"/>
      <c r="F115" s="57" t="n"/>
      <c r="G115" s="57" t="n"/>
    </row>
    <row r="116" ht="20" customHeight="1">
      <c r="B116" s="53" t="n"/>
      <c r="C116" s="54" t="n"/>
      <c r="D116" s="54" t="n"/>
      <c r="E116" s="55" t="n"/>
      <c r="F116" s="54" t="n"/>
      <c r="G116" s="54" t="n"/>
    </row>
    <row r="117" ht="20" customHeight="1">
      <c r="B117" s="56" t="n"/>
      <c r="C117" s="57" t="n"/>
      <c r="D117" s="57" t="n"/>
      <c r="E117" s="58" t="n"/>
      <c r="F117" s="57" t="n"/>
      <c r="G117" s="57" t="n"/>
    </row>
    <row r="118" ht="20" customHeight="1">
      <c r="B118" s="53" t="n"/>
      <c r="C118" s="54" t="n"/>
      <c r="D118" s="54" t="n"/>
      <c r="E118" s="55" t="n"/>
      <c r="F118" s="54" t="n"/>
      <c r="G118" s="54" t="n"/>
    </row>
    <row r="119" ht="20" customHeight="1">
      <c r="B119" s="56" t="n"/>
      <c r="C119" s="57" t="n"/>
      <c r="D119" s="57" t="n"/>
      <c r="E119" s="58" t="n"/>
      <c r="F119" s="57" t="n"/>
      <c r="G119" s="57" t="n"/>
    </row>
    <row r="120" ht="20" customHeight="1">
      <c r="B120" s="53" t="n"/>
      <c r="C120" s="54" t="n"/>
      <c r="D120" s="54" t="n"/>
      <c r="E120" s="55" t="n"/>
      <c r="F120" s="54" t="n"/>
      <c r="G120" s="54" t="n"/>
    </row>
    <row r="121" ht="20" customHeight="1">
      <c r="B121" s="56" t="n"/>
      <c r="C121" s="57" t="n"/>
      <c r="D121" s="57" t="n"/>
      <c r="E121" s="58" t="n"/>
      <c r="F121" s="57" t="n"/>
      <c r="G121" s="57" t="n"/>
    </row>
    <row r="122" ht="20" customHeight="1">
      <c r="B122" s="53" t="n"/>
      <c r="C122" s="54" t="n"/>
      <c r="D122" s="54" t="n"/>
      <c r="E122" s="55" t="n"/>
      <c r="F122" s="54" t="n"/>
      <c r="G122" s="54" t="n"/>
    </row>
    <row r="123" ht="20" customHeight="1">
      <c r="B123" s="56" t="n"/>
      <c r="C123" s="57" t="n"/>
      <c r="D123" s="57" t="n"/>
      <c r="E123" s="58" t="n"/>
      <c r="F123" s="57" t="n"/>
      <c r="G123" s="57" t="n"/>
    </row>
    <row r="124" ht="20" customHeight="1">
      <c r="B124" s="53" t="n"/>
      <c r="C124" s="54" t="n"/>
      <c r="D124" s="54" t="n"/>
      <c r="E124" s="55" t="n"/>
      <c r="F124" s="54" t="n"/>
      <c r="G124" s="54" t="n"/>
    </row>
    <row r="125" ht="20" customHeight="1">
      <c r="B125" s="56" t="n"/>
      <c r="C125" s="57" t="n"/>
      <c r="D125" s="57" t="n"/>
      <c r="E125" s="58" t="n"/>
      <c r="F125" s="57" t="n"/>
      <c r="G125" s="57" t="n"/>
    </row>
    <row r="126" ht="20" customHeight="1">
      <c r="B126" s="53" t="n"/>
      <c r="C126" s="54" t="n"/>
      <c r="D126" s="54" t="n"/>
      <c r="E126" s="55" t="n"/>
      <c r="F126" s="54" t="n"/>
      <c r="G126" s="54" t="n"/>
    </row>
    <row r="127" ht="20" customHeight="1">
      <c r="B127" s="56" t="n"/>
      <c r="C127" s="57" t="n"/>
      <c r="D127" s="57" t="n"/>
      <c r="E127" s="58" t="n"/>
      <c r="F127" s="57" t="n"/>
      <c r="G127" s="57" t="n"/>
    </row>
    <row r="128" ht="20" customHeight="1">
      <c r="B128" s="53" t="n"/>
      <c r="C128" s="54" t="n"/>
      <c r="D128" s="54" t="n"/>
      <c r="E128" s="55" t="n"/>
      <c r="F128" s="54" t="n"/>
      <c r="G128" s="54" t="n"/>
    </row>
    <row r="129" ht="20" customHeight="1">
      <c r="B129" s="56" t="n"/>
      <c r="C129" s="57" t="n"/>
      <c r="D129" s="57" t="n"/>
      <c r="E129" s="58" t="n"/>
      <c r="F129" s="57" t="n"/>
      <c r="G129" s="57" t="n"/>
    </row>
    <row r="130" ht="20" customHeight="1">
      <c r="B130" s="53" t="n"/>
      <c r="C130" s="54" t="n"/>
      <c r="D130" s="54" t="n"/>
      <c r="E130" s="55" t="n"/>
      <c r="F130" s="54" t="n"/>
      <c r="G130" s="54" t="n"/>
    </row>
    <row r="131" ht="20" customHeight="1">
      <c r="B131" s="56" t="n"/>
      <c r="C131" s="57" t="n"/>
      <c r="D131" s="57" t="n"/>
      <c r="E131" s="58" t="n"/>
      <c r="F131" s="57" t="n"/>
      <c r="G131" s="57" t="n"/>
    </row>
    <row r="132" ht="20" customHeight="1">
      <c r="B132" s="53" t="n"/>
      <c r="C132" s="54" t="n"/>
      <c r="D132" s="54" t="n"/>
      <c r="E132" s="55" t="n"/>
      <c r="F132" s="54" t="n"/>
      <c r="G132" s="54" t="n"/>
    </row>
    <row r="133" ht="20" customHeight="1">
      <c r="B133" s="56" t="n"/>
      <c r="C133" s="57" t="n"/>
      <c r="D133" s="57" t="n"/>
      <c r="E133" s="58" t="n"/>
      <c r="F133" s="57" t="n"/>
      <c r="G133" s="57" t="n"/>
    </row>
    <row r="134" ht="20" customHeight="1">
      <c r="B134" s="53" t="n"/>
      <c r="C134" s="54" t="n"/>
      <c r="D134" s="54" t="n"/>
      <c r="E134" s="55" t="n"/>
      <c r="F134" s="54" t="n"/>
      <c r="G134" s="54" t="n"/>
    </row>
    <row r="135" ht="20" customHeight="1">
      <c r="B135" s="56" t="n"/>
      <c r="C135" s="57" t="n"/>
      <c r="D135" s="57" t="n"/>
      <c r="E135" s="58" t="n"/>
      <c r="F135" s="57" t="n"/>
      <c r="G135" s="57" t="n"/>
    </row>
    <row r="136" ht="20" customHeight="1">
      <c r="B136" s="53" t="n"/>
      <c r="C136" s="54" t="n"/>
      <c r="D136" s="54" t="n"/>
      <c r="E136" s="55" t="n"/>
      <c r="F136" s="54" t="n"/>
      <c r="G136" s="54" t="n"/>
    </row>
    <row r="137" ht="20" customHeight="1">
      <c r="B137" s="56" t="n"/>
      <c r="C137" s="57" t="n"/>
      <c r="D137" s="57" t="n"/>
      <c r="E137" s="58" t="n"/>
      <c r="F137" s="57" t="n"/>
      <c r="G137" s="57" t="n"/>
    </row>
    <row r="138" ht="20" customHeight="1">
      <c r="B138" s="53" t="n"/>
      <c r="C138" s="54" t="n"/>
      <c r="D138" s="54" t="n"/>
      <c r="E138" s="55" t="n"/>
      <c r="F138" s="54" t="n"/>
      <c r="G138" s="54" t="n"/>
    </row>
    <row r="139" ht="20" customHeight="1">
      <c r="B139" s="56" t="n"/>
      <c r="C139" s="57" t="n"/>
      <c r="D139" s="57" t="n"/>
      <c r="E139" s="58" t="n"/>
      <c r="F139" s="57" t="n"/>
      <c r="G139" s="57" t="n"/>
    </row>
    <row r="140" ht="20" customHeight="1">
      <c r="B140" s="53" t="n"/>
      <c r="C140" s="54" t="n"/>
      <c r="D140" s="54" t="n"/>
      <c r="E140" s="55" t="n"/>
      <c r="F140" s="54" t="n"/>
      <c r="G140" s="54" t="n"/>
    </row>
    <row r="141" ht="20" customHeight="1">
      <c r="B141" s="56" t="n"/>
      <c r="C141" s="57" t="n"/>
      <c r="D141" s="57" t="n"/>
      <c r="E141" s="58" t="n"/>
      <c r="F141" s="57" t="n"/>
      <c r="G141" s="57" t="n"/>
    </row>
    <row r="142" ht="20" customHeight="1">
      <c r="B142" s="53" t="n"/>
      <c r="C142" s="54" t="n"/>
      <c r="D142" s="54" t="n"/>
      <c r="E142" s="55" t="n"/>
      <c r="F142" s="54" t="n"/>
      <c r="G142" s="54" t="n"/>
    </row>
    <row r="143" ht="20" customHeight="1">
      <c r="B143" s="56" t="n"/>
      <c r="C143" s="57" t="n"/>
      <c r="D143" s="57" t="n"/>
      <c r="E143" s="58" t="n"/>
      <c r="F143" s="57" t="n"/>
      <c r="G143" s="57" t="n"/>
    </row>
    <row r="144" ht="20" customHeight="1">
      <c r="B144" s="53" t="n"/>
      <c r="C144" s="54" t="n"/>
      <c r="D144" s="54" t="n"/>
      <c r="E144" s="55" t="n"/>
      <c r="F144" s="54" t="n"/>
      <c r="G144" s="54" t="n"/>
    </row>
    <row r="145" ht="20" customHeight="1">
      <c r="B145" s="56" t="n"/>
      <c r="C145" s="57" t="n"/>
      <c r="D145" s="57" t="n"/>
      <c r="E145" s="58" t="n"/>
      <c r="F145" s="57" t="n"/>
      <c r="G145" s="57" t="n"/>
    </row>
    <row r="146" ht="20" customHeight="1">
      <c r="B146" s="53" t="n"/>
      <c r="C146" s="54" t="n"/>
      <c r="D146" s="54" t="n"/>
      <c r="E146" s="55" t="n"/>
      <c r="F146" s="54" t="n"/>
      <c r="G146" s="54" t="n"/>
    </row>
    <row r="147" ht="20" customHeight="1">
      <c r="B147" s="56" t="n"/>
      <c r="C147" s="57" t="n"/>
      <c r="D147" s="57" t="n"/>
      <c r="E147" s="58" t="n"/>
      <c r="F147" s="57" t="n"/>
      <c r="G147" s="57" t="n"/>
    </row>
    <row r="148" ht="20" customHeight="1">
      <c r="B148" s="53" t="n"/>
      <c r="C148" s="54" t="n"/>
      <c r="D148" s="54" t="n"/>
      <c r="E148" s="55" t="n"/>
      <c r="F148" s="54" t="n"/>
      <c r="G148" s="54" t="n"/>
    </row>
    <row r="149" ht="20" customHeight="1">
      <c r="B149" s="56" t="n"/>
      <c r="C149" s="57" t="n"/>
      <c r="D149" s="57" t="n"/>
      <c r="E149" s="58" t="n"/>
      <c r="F149" s="57" t="n"/>
      <c r="G149" s="57" t="n"/>
    </row>
    <row r="150" ht="20" customHeight="1">
      <c r="B150" s="53" t="n"/>
      <c r="C150" s="54" t="n"/>
      <c r="D150" s="54" t="n"/>
      <c r="E150" s="55" t="n"/>
      <c r="F150" s="54" t="n"/>
      <c r="G150" s="54" t="n"/>
    </row>
    <row r="151" ht="20" customHeight="1">
      <c r="B151" s="56" t="n"/>
      <c r="C151" s="57" t="n"/>
      <c r="D151" s="57" t="n"/>
      <c r="E151" s="58" t="n"/>
      <c r="F151" s="57" t="n"/>
      <c r="G151" s="57" t="n"/>
    </row>
    <row r="152" ht="20" customHeight="1">
      <c r="B152" s="53" t="n"/>
      <c r="C152" s="54" t="n"/>
      <c r="D152" s="54" t="n"/>
      <c r="E152" s="55" t="n"/>
      <c r="F152" s="54" t="n"/>
      <c r="G152" s="54" t="n"/>
    </row>
    <row r="153" ht="20" customHeight="1">
      <c r="B153" s="56" t="n"/>
      <c r="C153" s="57" t="n"/>
      <c r="D153" s="57" t="n"/>
      <c r="E153" s="58" t="n"/>
      <c r="F153" s="57" t="n"/>
      <c r="G153" s="57" t="n"/>
    </row>
    <row r="154" ht="20" customHeight="1">
      <c r="B154" s="53" t="n"/>
      <c r="C154" s="54" t="n"/>
      <c r="D154" s="54" t="n"/>
      <c r="E154" s="55" t="n"/>
      <c r="F154" s="54" t="n"/>
      <c r="G154" s="54" t="n"/>
    </row>
    <row r="155" ht="20" customHeight="1">
      <c r="B155" s="56" t="n"/>
      <c r="C155" s="57" t="n"/>
      <c r="D155" s="57" t="n"/>
      <c r="E155" s="58" t="n"/>
      <c r="F155" s="57" t="n"/>
      <c r="G155" s="57" t="n"/>
    </row>
    <row r="156" ht="20" customHeight="1">
      <c r="B156" s="53" t="n"/>
      <c r="C156" s="54" t="n"/>
      <c r="D156" s="54" t="n"/>
      <c r="E156" s="55" t="n"/>
      <c r="F156" s="54" t="n"/>
      <c r="G156" s="54" t="n"/>
    </row>
    <row r="157" ht="20" customHeight="1">
      <c r="B157" s="56" t="n"/>
      <c r="C157" s="57" t="n"/>
      <c r="D157" s="57" t="n"/>
      <c r="E157" s="58" t="n"/>
      <c r="F157" s="57" t="n"/>
      <c r="G157" s="57" t="n"/>
    </row>
    <row r="158" ht="20" customHeight="1">
      <c r="B158" s="53" t="n"/>
      <c r="C158" s="54" t="n"/>
      <c r="D158" s="54" t="n"/>
      <c r="E158" s="55" t="n"/>
      <c r="F158" s="54" t="n"/>
      <c r="G158" s="54" t="n"/>
    </row>
    <row r="159" ht="20" customHeight="1">
      <c r="B159" s="56" t="n"/>
      <c r="C159" s="57" t="n"/>
      <c r="D159" s="57" t="n"/>
      <c r="E159" s="58" t="n"/>
      <c r="F159" s="57" t="n"/>
      <c r="G159" s="57" t="n"/>
    </row>
    <row r="160" ht="20" customHeight="1">
      <c r="B160" s="53" t="n"/>
      <c r="C160" s="54" t="n"/>
      <c r="D160" s="54" t="n"/>
      <c r="E160" s="55" t="n"/>
      <c r="F160" s="54" t="n"/>
      <c r="G160" s="54" t="n"/>
    </row>
    <row r="161" ht="20" customHeight="1">
      <c r="B161" s="56" t="n"/>
      <c r="C161" s="57" t="n"/>
      <c r="D161" s="57" t="n"/>
      <c r="E161" s="58" t="n"/>
      <c r="F161" s="57" t="n"/>
      <c r="G161" s="57" t="n"/>
    </row>
    <row r="162" ht="20" customHeight="1">
      <c r="B162" s="53" t="n"/>
      <c r="C162" s="54" t="n"/>
      <c r="D162" s="54" t="n"/>
      <c r="E162" s="55" t="n"/>
      <c r="F162" s="54" t="n"/>
      <c r="G162" s="54" t="n"/>
    </row>
    <row r="163" ht="20" customHeight="1">
      <c r="B163" s="56" t="n"/>
      <c r="C163" s="57" t="n"/>
      <c r="D163" s="57" t="n"/>
      <c r="E163" s="58" t="n"/>
      <c r="F163" s="57" t="n"/>
      <c r="G163" s="57" t="n"/>
    </row>
    <row r="164" ht="20" customHeight="1">
      <c r="B164" s="53" t="n"/>
      <c r="C164" s="54" t="n"/>
      <c r="D164" s="54" t="n"/>
      <c r="E164" s="55" t="n"/>
      <c r="F164" s="54" t="n"/>
      <c r="G164" s="54" t="n"/>
    </row>
    <row r="165" ht="20" customHeight="1">
      <c r="B165" s="56" t="n"/>
      <c r="C165" s="57" t="n"/>
      <c r="D165" s="57" t="n"/>
      <c r="E165" s="58" t="n"/>
      <c r="F165" s="57" t="n"/>
      <c r="G165" s="57" t="n"/>
    </row>
    <row r="166" ht="20" customHeight="1">
      <c r="B166" s="53" t="n"/>
      <c r="C166" s="54" t="n"/>
      <c r="D166" s="54" t="n"/>
      <c r="E166" s="55" t="n"/>
      <c r="F166" s="54" t="n"/>
      <c r="G166" s="54" t="n"/>
    </row>
    <row r="167" ht="20" customHeight="1">
      <c r="B167" s="56" t="n"/>
      <c r="C167" s="57" t="n"/>
      <c r="D167" s="57" t="n"/>
      <c r="E167" s="58" t="n"/>
      <c r="F167" s="57" t="n"/>
      <c r="G167" s="57" t="n"/>
    </row>
    <row r="168" ht="20" customHeight="1">
      <c r="B168" s="53" t="n"/>
      <c r="C168" s="54" t="n"/>
      <c r="D168" s="54" t="n"/>
      <c r="E168" s="55" t="n"/>
      <c r="F168" s="54" t="n"/>
      <c r="G168" s="54" t="n"/>
    </row>
    <row r="169" ht="20" customHeight="1">
      <c r="B169" s="56" t="n"/>
      <c r="C169" s="57" t="n"/>
      <c r="D169" s="57" t="n"/>
      <c r="E169" s="58" t="n"/>
      <c r="F169" s="57" t="n"/>
      <c r="G169" s="57" t="n"/>
    </row>
    <row r="170" ht="20" customHeight="1">
      <c r="B170" s="53" t="n"/>
      <c r="C170" s="54" t="n"/>
      <c r="D170" s="54" t="n"/>
      <c r="E170" s="55" t="n"/>
      <c r="F170" s="54" t="n"/>
      <c r="G170" s="54" t="n"/>
    </row>
    <row r="171" ht="20" customHeight="1">
      <c r="B171" s="56" t="n"/>
      <c r="C171" s="57" t="n"/>
      <c r="D171" s="57" t="n"/>
      <c r="E171" s="58" t="n"/>
      <c r="F171" s="57" t="n"/>
      <c r="G171" s="57" t="n"/>
    </row>
    <row r="172" ht="20" customHeight="1">
      <c r="B172" s="53" t="n"/>
      <c r="C172" s="54" t="n"/>
      <c r="D172" s="54" t="n"/>
      <c r="E172" s="55" t="n"/>
      <c r="F172" s="54" t="n"/>
      <c r="G172" s="54" t="n"/>
    </row>
    <row r="173" ht="20" customHeight="1">
      <c r="B173" s="56" t="n"/>
      <c r="C173" s="57" t="n"/>
      <c r="D173" s="57" t="n"/>
      <c r="E173" s="58" t="n"/>
      <c r="F173" s="57" t="n"/>
      <c r="G173" s="57" t="n"/>
    </row>
    <row r="174" ht="20" customHeight="1">
      <c r="B174" s="53" t="n"/>
      <c r="C174" s="54" t="n"/>
      <c r="D174" s="54" t="n"/>
      <c r="E174" s="55" t="n"/>
      <c r="F174" s="54" t="n"/>
      <c r="G174" s="54" t="n"/>
    </row>
    <row r="175" ht="20" customHeight="1">
      <c r="B175" s="56" t="n"/>
      <c r="C175" s="57" t="n"/>
      <c r="D175" s="57" t="n"/>
      <c r="E175" s="58" t="n"/>
      <c r="F175" s="57" t="n"/>
      <c r="G175" s="57" t="n"/>
    </row>
    <row r="176" ht="20" customHeight="1">
      <c r="B176" s="53" t="n"/>
      <c r="C176" s="54" t="n"/>
      <c r="D176" s="54" t="n"/>
      <c r="E176" s="55" t="n"/>
      <c r="F176" s="54" t="n"/>
      <c r="G176" s="54" t="n"/>
    </row>
    <row r="177" ht="20" customHeight="1">
      <c r="B177" s="56" t="n"/>
      <c r="C177" s="57" t="n"/>
      <c r="D177" s="57" t="n"/>
      <c r="E177" s="58" t="n"/>
      <c r="F177" s="57" t="n"/>
      <c r="G177" s="57" t="n"/>
    </row>
    <row r="178" ht="20" customHeight="1">
      <c r="B178" s="53" t="n"/>
      <c r="C178" s="54" t="n"/>
      <c r="D178" s="54" t="n"/>
      <c r="E178" s="55" t="n"/>
      <c r="F178" s="54" t="n"/>
      <c r="G178" s="54" t="n"/>
    </row>
    <row r="179" ht="20" customHeight="1">
      <c r="B179" s="56" t="n"/>
      <c r="C179" s="57" t="n"/>
      <c r="D179" s="57" t="n"/>
      <c r="E179" s="58" t="n"/>
      <c r="F179" s="57" t="n"/>
      <c r="G179" s="57" t="n"/>
    </row>
    <row r="180" ht="20" customHeight="1">
      <c r="B180" s="53" t="n"/>
      <c r="C180" s="54" t="n"/>
      <c r="D180" s="54" t="n"/>
      <c r="E180" s="55" t="n"/>
      <c r="F180" s="54" t="n"/>
      <c r="G180" s="54" t="n"/>
    </row>
    <row r="181" ht="20" customHeight="1">
      <c r="B181" s="56" t="n"/>
      <c r="C181" s="57" t="n"/>
      <c r="D181" s="57" t="n"/>
      <c r="E181" s="58" t="n"/>
      <c r="F181" s="57" t="n"/>
      <c r="G181" s="57" t="n"/>
    </row>
    <row r="182" ht="20" customHeight="1">
      <c r="B182" s="53" t="n"/>
      <c r="C182" s="54" t="n"/>
      <c r="D182" s="54" t="n"/>
      <c r="E182" s="55" t="n"/>
      <c r="F182" s="54" t="n"/>
      <c r="G182" s="54" t="n"/>
    </row>
    <row r="183" ht="20" customHeight="1">
      <c r="B183" s="56" t="n"/>
      <c r="C183" s="57" t="n"/>
      <c r="D183" s="57" t="n"/>
      <c r="E183" s="58" t="n"/>
      <c r="F183" s="57" t="n"/>
      <c r="G183" s="57" t="n"/>
    </row>
    <row r="184" ht="20" customHeight="1">
      <c r="B184" s="53" t="n"/>
      <c r="C184" s="54" t="n"/>
      <c r="D184" s="54" t="n"/>
      <c r="E184" s="55" t="n"/>
      <c r="F184" s="54" t="n"/>
      <c r="G184" s="54" t="n"/>
    </row>
    <row r="185" ht="20" customHeight="1">
      <c r="B185" s="56" t="n"/>
      <c r="C185" s="57" t="n"/>
      <c r="D185" s="57" t="n"/>
      <c r="E185" s="58" t="n"/>
      <c r="F185" s="57" t="n"/>
      <c r="G185" s="57" t="n"/>
    </row>
    <row r="186" ht="20" customHeight="1">
      <c r="B186" s="53" t="n"/>
      <c r="C186" s="54" t="n"/>
      <c r="D186" s="54" t="n"/>
      <c r="E186" s="55" t="n"/>
      <c r="F186" s="54" t="n"/>
      <c r="G186" s="54" t="n"/>
    </row>
    <row r="187" ht="20" customHeight="1">
      <c r="B187" s="56" t="n"/>
      <c r="C187" s="57" t="n"/>
      <c r="D187" s="57" t="n"/>
      <c r="E187" s="58" t="n"/>
      <c r="F187" s="57" t="n"/>
      <c r="G187" s="57" t="n"/>
    </row>
    <row r="188" ht="20" customHeight="1">
      <c r="B188" s="53" t="n"/>
      <c r="C188" s="54" t="n"/>
      <c r="D188" s="54" t="n"/>
      <c r="E188" s="55" t="n"/>
      <c r="F188" s="54" t="n"/>
      <c r="G188" s="54" t="n"/>
    </row>
    <row r="189" ht="20" customHeight="1">
      <c r="B189" s="56" t="n"/>
      <c r="C189" s="57" t="n"/>
      <c r="D189" s="57" t="n"/>
      <c r="E189" s="58" t="n"/>
      <c r="F189" s="57" t="n"/>
      <c r="G189" s="57" t="n"/>
    </row>
    <row r="190" ht="20" customHeight="1">
      <c r="B190" s="53" t="n"/>
      <c r="C190" s="54" t="n"/>
      <c r="D190" s="54" t="n"/>
      <c r="E190" s="55" t="n"/>
      <c r="F190" s="54" t="n"/>
      <c r="G190" s="54" t="n"/>
    </row>
    <row r="191" ht="20" customHeight="1">
      <c r="B191" s="56" t="n"/>
      <c r="C191" s="57" t="n"/>
      <c r="D191" s="57" t="n"/>
      <c r="E191" s="58" t="n"/>
      <c r="F191" s="57" t="n"/>
      <c r="G191" s="57" t="n"/>
    </row>
    <row r="192" ht="20" customHeight="1">
      <c r="B192" s="53" t="n"/>
      <c r="C192" s="54" t="n"/>
      <c r="D192" s="54" t="n"/>
      <c r="E192" s="55" t="n"/>
      <c r="F192" s="54" t="n"/>
      <c r="G192" s="54" t="n"/>
    </row>
    <row r="193" ht="20" customHeight="1">
      <c r="B193" s="56" t="n"/>
      <c r="C193" s="57" t="n"/>
      <c r="D193" s="57" t="n"/>
      <c r="E193" s="58" t="n"/>
      <c r="F193" s="57" t="n"/>
      <c r="G193" s="57" t="n"/>
    </row>
    <row r="194" ht="20" customHeight="1">
      <c r="B194" s="53" t="n"/>
      <c r="C194" s="54" t="n"/>
      <c r="D194" s="54" t="n"/>
      <c r="E194" s="55" t="n"/>
      <c r="F194" s="54" t="n"/>
      <c r="G194" s="54" t="n"/>
    </row>
    <row r="195" ht="20" customHeight="1">
      <c r="B195" s="56" t="n"/>
      <c r="C195" s="57" t="n"/>
      <c r="D195" s="57" t="n"/>
      <c r="E195" s="58" t="n"/>
      <c r="F195" s="57" t="n"/>
      <c r="G195" s="57" t="n"/>
    </row>
    <row r="196" ht="20" customHeight="1">
      <c r="B196" s="53" t="n"/>
      <c r="C196" s="54" t="n"/>
      <c r="D196" s="54" t="n"/>
      <c r="E196" s="55" t="n"/>
      <c r="F196" s="54" t="n"/>
      <c r="G196" s="54" t="n"/>
    </row>
    <row r="197" ht="20" customHeight="1">
      <c r="B197" s="56" t="n"/>
      <c r="C197" s="57" t="n"/>
      <c r="D197" s="57" t="n"/>
      <c r="E197" s="58" t="n"/>
      <c r="F197" s="57" t="n"/>
      <c r="G197" s="57" t="n"/>
    </row>
    <row r="198" ht="20" customHeight="1">
      <c r="B198" s="53" t="n"/>
      <c r="C198" s="54" t="n"/>
      <c r="D198" s="54" t="n"/>
      <c r="E198" s="55" t="n"/>
      <c r="F198" s="54" t="n"/>
      <c r="G198" s="54" t="n"/>
    </row>
    <row r="199" ht="20" customHeight="1">
      <c r="B199" s="56" t="n"/>
      <c r="C199" s="57" t="n"/>
      <c r="D199" s="57" t="n"/>
      <c r="E199" s="58" t="n"/>
      <c r="F199" s="57" t="n"/>
      <c r="G199" s="57" t="n"/>
    </row>
    <row r="200" ht="20" customHeight="1">
      <c r="B200" s="53" t="n"/>
      <c r="C200" s="54" t="n"/>
      <c r="D200" s="54" t="n"/>
      <c r="E200" s="55" t="n"/>
      <c r="F200" s="54" t="n"/>
      <c r="G200" s="54" t="n"/>
    </row>
    <row r="201" ht="20" customHeight="1">
      <c r="B201" s="56" t="n"/>
      <c r="C201" s="57" t="n"/>
      <c r="D201" s="57" t="n"/>
      <c r="E201" s="58" t="n"/>
      <c r="F201" s="57" t="n"/>
      <c r="G201" s="57" t="n"/>
    </row>
    <row r="202" ht="20" customHeight="1">
      <c r="B202" s="53" t="n"/>
      <c r="C202" s="54" t="n"/>
      <c r="D202" s="54" t="n"/>
      <c r="E202" s="55" t="n"/>
      <c r="F202" s="54" t="n"/>
      <c r="G202" s="54" t="n"/>
    </row>
    <row r="203" ht="20" customHeight="1">
      <c r="B203" s="56" t="n"/>
      <c r="C203" s="57" t="n"/>
      <c r="D203" s="57" t="n"/>
      <c r="E203" s="58" t="n"/>
      <c r="F203" s="57" t="n"/>
      <c r="G203" s="57" t="n"/>
    </row>
    <row r="204" ht="20" customHeight="1">
      <c r="B204" s="53" t="n"/>
      <c r="C204" s="54" t="n"/>
      <c r="D204" s="54" t="n"/>
      <c r="E204" s="55" t="n"/>
      <c r="F204" s="54" t="n"/>
      <c r="G204" s="54" t="n"/>
    </row>
    <row r="205" ht="20" customHeight="1">
      <c r="B205" s="56" t="n"/>
      <c r="C205" s="57" t="n"/>
      <c r="D205" s="57" t="n"/>
      <c r="E205" s="58" t="n"/>
      <c r="F205" s="57" t="n"/>
      <c r="G205" s="57" t="n"/>
    </row>
    <row r="206" ht="20" customHeight="1">
      <c r="B206" s="53" t="n"/>
      <c r="C206" s="54" t="n"/>
      <c r="D206" s="54" t="n"/>
      <c r="E206" s="55" t="n"/>
      <c r="F206" s="54" t="n"/>
      <c r="G206" s="54" t="n"/>
    </row>
    <row r="207" ht="20" customHeight="1">
      <c r="B207" s="56" t="n"/>
      <c r="C207" s="57" t="n"/>
      <c r="D207" s="57" t="n"/>
      <c r="E207" s="58" t="n"/>
      <c r="F207" s="57" t="n"/>
      <c r="G207" s="57" t="n"/>
    </row>
    <row r="208" ht="20" customHeight="1">
      <c r="B208" s="53" t="n"/>
      <c r="C208" s="54" t="n"/>
      <c r="D208" s="54" t="n"/>
      <c r="E208" s="55" t="n"/>
      <c r="F208" s="54" t="n"/>
      <c r="G208" s="54" t="n"/>
    </row>
    <row r="209" ht="20" customHeight="1">
      <c r="B209" s="56" t="n"/>
      <c r="C209" s="57" t="n"/>
      <c r="D209" s="57" t="n"/>
      <c r="E209" s="58" t="n"/>
      <c r="F209" s="57" t="n"/>
      <c r="G209" s="57" t="n"/>
    </row>
    <row r="210" ht="20" customHeight="1">
      <c r="B210" s="53" t="n"/>
      <c r="C210" s="54" t="n"/>
      <c r="D210" s="54" t="n"/>
      <c r="E210" s="55" t="n"/>
      <c r="F210" s="54" t="n"/>
      <c r="G210" s="54" t="n"/>
    </row>
    <row r="211" ht="20" customHeight="1">
      <c r="B211" s="56" t="n"/>
      <c r="C211" s="57" t="n"/>
      <c r="D211" s="57" t="n"/>
      <c r="E211" s="58" t="n"/>
      <c r="F211" s="57" t="n"/>
      <c r="G211" s="57" t="n"/>
    </row>
    <row r="212" ht="20" customHeight="1">
      <c r="B212" s="53" t="n"/>
      <c r="C212" s="54" t="n"/>
      <c r="D212" s="54" t="n"/>
      <c r="E212" s="55" t="n"/>
      <c r="F212" s="54" t="n"/>
      <c r="G212" s="54" t="n"/>
    </row>
    <row r="213" ht="20" customHeight="1">
      <c r="B213" s="56" t="n"/>
      <c r="C213" s="57" t="n"/>
      <c r="D213" s="57" t="n"/>
      <c r="E213" s="58" t="n"/>
      <c r="F213" s="57" t="n"/>
      <c r="G213" s="57" t="n"/>
    </row>
    <row r="214" ht="20" customHeight="1">
      <c r="B214" s="53" t="n"/>
      <c r="C214" s="54" t="n"/>
      <c r="D214" s="54" t="n"/>
      <c r="E214" s="55" t="n"/>
      <c r="F214" s="54" t="n"/>
      <c r="G214" s="54" t="n"/>
    </row>
    <row r="215" ht="20" customHeight="1">
      <c r="B215" s="56" t="n"/>
      <c r="C215" s="57" t="n"/>
      <c r="D215" s="57" t="n"/>
      <c r="E215" s="58" t="n"/>
      <c r="F215" s="57" t="n"/>
      <c r="G215" s="57" t="n"/>
    </row>
    <row r="216" ht="20" customHeight="1">
      <c r="B216" s="53" t="n"/>
      <c r="C216" s="54" t="n"/>
      <c r="D216" s="54" t="n"/>
      <c r="E216" s="55" t="n"/>
      <c r="F216" s="54" t="n"/>
      <c r="G216" s="54" t="n"/>
    </row>
    <row r="217" ht="20" customHeight="1">
      <c r="B217" s="56" t="n"/>
      <c r="C217" s="57" t="n"/>
      <c r="D217" s="57" t="n"/>
      <c r="E217" s="58" t="n"/>
      <c r="F217" s="57" t="n"/>
      <c r="G217" s="57" t="n"/>
    </row>
    <row r="218" ht="20" customHeight="1">
      <c r="B218" s="53" t="n"/>
      <c r="C218" s="54" t="n"/>
      <c r="D218" s="54" t="n"/>
      <c r="E218" s="55" t="n"/>
      <c r="F218" s="54" t="n"/>
      <c r="G218" s="54" t="n"/>
    </row>
    <row r="219" ht="20" customHeight="1">
      <c r="B219" s="56" t="n"/>
      <c r="C219" s="57" t="n"/>
      <c r="D219" s="57" t="n"/>
      <c r="E219" s="58" t="n"/>
      <c r="F219" s="57" t="n"/>
      <c r="G219" s="57" t="n"/>
    </row>
  </sheetData>
  <mergeCells count="4">
    <mergeCell ref="B3:G3"/>
    <mergeCell ref="E2:G2"/>
    <mergeCell ref="B2:D2"/>
    <mergeCell ref="B1:G1"/>
  </mergeCells>
  <dataValidations count="2">
    <dataValidation sqref="D5:D9999" showDropDown="0" showInputMessage="0" showErrorMessage="1" allowBlank="1" errorTitle="Invalid category" error="Please choose a category from the dropdown list." type="list">
      <formula1>"Housing,Food and Groceries,Transport,Health and Medical,Education,Shopping,Subscriptions,Entertainment,Travel,Savings and Investments,Miscellaneous"</formula1>
    </dataValidation>
    <dataValidation sqref="F5:F9999" showDropDown="0" showInputMessage="0" showErrorMessage="0" allowBlank="1" type="list">
      <formula1>"Credit Card,Debit Card,Cash,UPI GPay,Net Banking,Auto-Debit"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B1:G2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32" customWidth="1" min="3" max="3"/>
    <col width="22" customWidth="1" min="4" max="4"/>
    <col width="16" customWidth="1" min="5" max="5"/>
    <col width="18" customWidth="1" min="6" max="6"/>
    <col width="28" customWidth="1" min="7" max="7"/>
    <col width="2" customWidth="1" min="8" max="8"/>
  </cols>
  <sheetData>
    <row r="1" ht="36" customHeight="1">
      <c r="B1" s="59" t="inlineStr">
        <is>
          <t>INCOME LOG  -  Enter every payment received here</t>
        </is>
      </c>
    </row>
    <row r="2" ht="30" customHeight="1">
      <c r="B2" s="46" t="inlineStr">
        <is>
          <t>Total Income Logged:</t>
        </is>
      </c>
      <c r="E2" s="60">
        <f>SUM(E5:E9999)</f>
        <v/>
      </c>
    </row>
    <row r="3" ht="18" customHeight="1">
      <c r="B3" s="61" t="inlineStr">
        <is>
          <t>Date format: 2024-MM-DD  |  Use dropdown for Source  |  Amount in numbers only</t>
        </is>
      </c>
    </row>
    <row r="4" ht="22" customHeight="1">
      <c r="B4" s="29" t="inlineStr">
        <is>
          <t>Date</t>
        </is>
      </c>
      <c r="C4" s="29" t="inlineStr">
        <is>
          <t>Description</t>
        </is>
      </c>
      <c r="D4" s="29" t="inlineStr">
        <is>
          <t>Source</t>
        </is>
      </c>
      <c r="E4" s="29" t="inlineStr">
        <is>
          <t>Amount</t>
        </is>
      </c>
      <c r="F4" s="29" t="inlineStr">
        <is>
          <t>Account</t>
        </is>
      </c>
      <c r="G4" s="29" t="inlineStr">
        <is>
          <t>Notes</t>
        </is>
      </c>
    </row>
    <row r="5" ht="20" customHeight="1">
      <c r="B5" s="62" t="n">
        <v>45292</v>
      </c>
      <c r="C5" s="63" t="inlineStr">
        <is>
          <t>January salary</t>
        </is>
      </c>
      <c r="D5" s="63" t="inlineStr">
        <is>
          <t>Salary</t>
        </is>
      </c>
      <c r="E5" s="31" t="n">
        <v>85000</v>
      </c>
      <c r="F5" s="64" t="inlineStr">
        <is>
          <t>HDFC Bank</t>
        </is>
      </c>
      <c r="G5" s="63" t="inlineStr">
        <is>
          <t>Monthly salary</t>
        </is>
      </c>
    </row>
    <row r="6" ht="20" customHeight="1">
      <c r="B6" s="51" t="n">
        <v>45306</v>
      </c>
      <c r="C6" s="23" t="inlineStr">
        <is>
          <t>Fiverr logo design</t>
        </is>
      </c>
      <c r="D6" s="23" t="inlineStr">
        <is>
          <t>Freelance</t>
        </is>
      </c>
      <c r="E6" s="24" t="n">
        <v>3500</v>
      </c>
      <c r="F6" s="52" t="inlineStr">
        <is>
          <t>Wallet</t>
        </is>
      </c>
      <c r="G6" s="23" t="inlineStr"/>
    </row>
    <row r="7" ht="20" customHeight="1">
      <c r="B7" s="62" t="n">
        <v>45311</v>
      </c>
      <c r="C7" s="63" t="inlineStr">
        <is>
          <t>HDFC dividend</t>
        </is>
      </c>
      <c r="D7" s="63" t="inlineStr">
        <is>
          <t>Dividends</t>
        </is>
      </c>
      <c r="E7" s="31" t="n">
        <v>420</v>
      </c>
      <c r="F7" s="64" t="inlineStr">
        <is>
          <t>HDFC Bank</t>
        </is>
      </c>
      <c r="G7" s="63" t="inlineStr">
        <is>
          <t>Q3 payout</t>
        </is>
      </c>
    </row>
    <row r="8" ht="20" customHeight="1">
      <c r="B8" s="51" t="n">
        <v>45323</v>
      </c>
      <c r="C8" s="23" t="inlineStr">
        <is>
          <t>February salary</t>
        </is>
      </c>
      <c r="D8" s="23" t="inlineStr">
        <is>
          <t>Salary</t>
        </is>
      </c>
      <c r="E8" s="24" t="n">
        <v>85000</v>
      </c>
      <c r="F8" s="52" t="inlineStr">
        <is>
          <t>HDFC Bank</t>
        </is>
      </c>
      <c r="G8" s="23" t="inlineStr"/>
    </row>
    <row r="9" ht="20" customHeight="1">
      <c r="B9" s="62" t="n">
        <v>45334</v>
      </c>
      <c r="C9" s="63" t="inlineStr">
        <is>
          <t>Website project</t>
        </is>
      </c>
      <c r="D9" s="63" t="inlineStr">
        <is>
          <t>Freelance</t>
        </is>
      </c>
      <c r="E9" s="31" t="n">
        <v>8000</v>
      </c>
      <c r="F9" s="64" t="inlineStr">
        <is>
          <t>HDFC Bank</t>
        </is>
      </c>
      <c r="G9" s="63" t="inlineStr">
        <is>
          <t>Client ABC</t>
        </is>
      </c>
    </row>
    <row r="10" ht="20" customHeight="1">
      <c r="B10" s="51" t="n">
        <v>45352</v>
      </c>
      <c r="C10" s="23" t="inlineStr">
        <is>
          <t>March salary</t>
        </is>
      </c>
      <c r="D10" s="23" t="inlineStr">
        <is>
          <t>Salary</t>
        </is>
      </c>
      <c r="E10" s="24" t="n">
        <v>85000</v>
      </c>
      <c r="F10" s="52" t="inlineStr">
        <is>
          <t>HDFC Bank</t>
        </is>
      </c>
      <c r="G10" s="23" t="inlineStr"/>
    </row>
    <row r="11" ht="20" customHeight="1">
      <c r="B11" s="62" t="n">
        <v>45366</v>
      </c>
      <c r="C11" s="63" t="inlineStr">
        <is>
          <t>Q1 performance bonus</t>
        </is>
      </c>
      <c r="D11" s="63" t="inlineStr">
        <is>
          <t>Bonus</t>
        </is>
      </c>
      <c r="E11" s="31" t="n">
        <v>15000</v>
      </c>
      <c r="F11" s="64" t="inlineStr">
        <is>
          <t>HDFC Bank</t>
        </is>
      </c>
      <c r="G11" s="63" t="inlineStr"/>
    </row>
    <row r="12" ht="20" customHeight="1">
      <c r="B12" s="53" t="n"/>
      <c r="C12" s="54" t="n"/>
      <c r="D12" s="54" t="n"/>
      <c r="E12" s="55" t="n"/>
      <c r="F12" s="54" t="n"/>
      <c r="G12" s="54" t="n"/>
    </row>
    <row r="13" ht="20" customHeight="1">
      <c r="B13" s="65" t="n"/>
      <c r="C13" s="66" t="n"/>
      <c r="D13" s="66" t="n"/>
      <c r="E13" s="67" t="n"/>
      <c r="F13" s="66" t="n"/>
      <c r="G13" s="66" t="n"/>
    </row>
    <row r="14" ht="20" customHeight="1">
      <c r="B14" s="53" t="n"/>
      <c r="C14" s="54" t="n"/>
      <c r="D14" s="54" t="n"/>
      <c r="E14" s="55" t="n"/>
      <c r="F14" s="54" t="n"/>
      <c r="G14" s="54" t="n"/>
    </row>
    <row r="15" ht="20" customHeight="1">
      <c r="B15" s="65" t="n"/>
      <c r="C15" s="66" t="n"/>
      <c r="D15" s="66" t="n"/>
      <c r="E15" s="67" t="n"/>
      <c r="F15" s="66" t="n"/>
      <c r="G15" s="66" t="n"/>
    </row>
    <row r="16" ht="20" customHeight="1">
      <c r="B16" s="53" t="n"/>
      <c r="C16" s="54" t="n"/>
      <c r="D16" s="54" t="n"/>
      <c r="E16" s="55" t="n"/>
      <c r="F16" s="54" t="n"/>
      <c r="G16" s="54" t="n"/>
    </row>
    <row r="17" ht="20" customHeight="1">
      <c r="B17" s="65" t="n"/>
      <c r="C17" s="66" t="n"/>
      <c r="D17" s="66" t="n"/>
      <c r="E17" s="67" t="n"/>
      <c r="F17" s="66" t="n"/>
      <c r="G17" s="66" t="n"/>
    </row>
    <row r="18" ht="20" customHeight="1">
      <c r="B18" s="53" t="n"/>
      <c r="C18" s="54" t="n"/>
      <c r="D18" s="54" t="n"/>
      <c r="E18" s="55" t="n"/>
      <c r="F18" s="54" t="n"/>
      <c r="G18" s="54" t="n"/>
    </row>
    <row r="19" ht="20" customHeight="1">
      <c r="B19" s="65" t="n"/>
      <c r="C19" s="66" t="n"/>
      <c r="D19" s="66" t="n"/>
      <c r="E19" s="67" t="n"/>
      <c r="F19" s="66" t="n"/>
      <c r="G19" s="66" t="n"/>
    </row>
    <row r="20" ht="20" customHeight="1">
      <c r="B20" s="53" t="n"/>
      <c r="C20" s="54" t="n"/>
      <c r="D20" s="54" t="n"/>
      <c r="E20" s="55" t="n"/>
      <c r="F20" s="54" t="n"/>
      <c r="G20" s="54" t="n"/>
    </row>
    <row r="21" ht="20" customHeight="1">
      <c r="B21" s="65" t="n"/>
      <c r="C21" s="66" t="n"/>
      <c r="D21" s="66" t="n"/>
      <c r="E21" s="67" t="n"/>
      <c r="F21" s="66" t="n"/>
      <c r="G21" s="66" t="n"/>
    </row>
    <row r="22" ht="20" customHeight="1">
      <c r="B22" s="53" t="n"/>
      <c r="C22" s="54" t="n"/>
      <c r="D22" s="54" t="n"/>
      <c r="E22" s="55" t="n"/>
      <c r="F22" s="54" t="n"/>
      <c r="G22" s="54" t="n"/>
    </row>
    <row r="23" ht="20" customHeight="1">
      <c r="B23" s="65" t="n"/>
      <c r="C23" s="66" t="n"/>
      <c r="D23" s="66" t="n"/>
      <c r="E23" s="67" t="n"/>
      <c r="F23" s="66" t="n"/>
      <c r="G23" s="66" t="n"/>
    </row>
    <row r="24" ht="20" customHeight="1">
      <c r="B24" s="53" t="n"/>
      <c r="C24" s="54" t="n"/>
      <c r="D24" s="54" t="n"/>
      <c r="E24" s="55" t="n"/>
      <c r="F24" s="54" t="n"/>
      <c r="G24" s="54" t="n"/>
    </row>
    <row r="25" ht="20" customHeight="1">
      <c r="B25" s="65" t="n"/>
      <c r="C25" s="66" t="n"/>
      <c r="D25" s="66" t="n"/>
      <c r="E25" s="67" t="n"/>
      <c r="F25" s="66" t="n"/>
      <c r="G25" s="66" t="n"/>
    </row>
    <row r="26" ht="20" customHeight="1">
      <c r="B26" s="53" t="n"/>
      <c r="C26" s="54" t="n"/>
      <c r="D26" s="54" t="n"/>
      <c r="E26" s="55" t="n"/>
      <c r="F26" s="54" t="n"/>
      <c r="G26" s="54" t="n"/>
    </row>
    <row r="27" ht="20" customHeight="1">
      <c r="B27" s="65" t="n"/>
      <c r="C27" s="66" t="n"/>
      <c r="D27" s="66" t="n"/>
      <c r="E27" s="67" t="n"/>
      <c r="F27" s="66" t="n"/>
      <c r="G27" s="66" t="n"/>
    </row>
    <row r="28" ht="20" customHeight="1">
      <c r="B28" s="53" t="n"/>
      <c r="C28" s="54" t="n"/>
      <c r="D28" s="54" t="n"/>
      <c r="E28" s="55" t="n"/>
      <c r="F28" s="54" t="n"/>
      <c r="G28" s="54" t="n"/>
    </row>
    <row r="29" ht="20" customHeight="1">
      <c r="B29" s="65" t="n"/>
      <c r="C29" s="66" t="n"/>
      <c r="D29" s="66" t="n"/>
      <c r="E29" s="67" t="n"/>
      <c r="F29" s="66" t="n"/>
      <c r="G29" s="66" t="n"/>
    </row>
    <row r="30" ht="20" customHeight="1">
      <c r="B30" s="53" t="n"/>
      <c r="C30" s="54" t="n"/>
      <c r="D30" s="54" t="n"/>
      <c r="E30" s="55" t="n"/>
      <c r="F30" s="54" t="n"/>
      <c r="G30" s="54" t="n"/>
    </row>
    <row r="31" ht="20" customHeight="1">
      <c r="B31" s="65" t="n"/>
      <c r="C31" s="66" t="n"/>
      <c r="D31" s="66" t="n"/>
      <c r="E31" s="67" t="n"/>
      <c r="F31" s="66" t="n"/>
      <c r="G31" s="66" t="n"/>
    </row>
    <row r="32" ht="20" customHeight="1">
      <c r="B32" s="53" t="n"/>
      <c r="C32" s="54" t="n"/>
      <c r="D32" s="54" t="n"/>
      <c r="E32" s="55" t="n"/>
      <c r="F32" s="54" t="n"/>
      <c r="G32" s="54" t="n"/>
    </row>
    <row r="33" ht="20" customHeight="1">
      <c r="B33" s="65" t="n"/>
      <c r="C33" s="66" t="n"/>
      <c r="D33" s="66" t="n"/>
      <c r="E33" s="67" t="n"/>
      <c r="F33" s="66" t="n"/>
      <c r="G33" s="66" t="n"/>
    </row>
    <row r="34" ht="20" customHeight="1">
      <c r="B34" s="53" t="n"/>
      <c r="C34" s="54" t="n"/>
      <c r="D34" s="54" t="n"/>
      <c r="E34" s="55" t="n"/>
      <c r="F34" s="54" t="n"/>
      <c r="G34" s="54" t="n"/>
    </row>
    <row r="35" ht="20" customHeight="1">
      <c r="B35" s="65" t="n"/>
      <c r="C35" s="66" t="n"/>
      <c r="D35" s="66" t="n"/>
      <c r="E35" s="67" t="n"/>
      <c r="F35" s="66" t="n"/>
      <c r="G35" s="66" t="n"/>
    </row>
    <row r="36" ht="20" customHeight="1">
      <c r="B36" s="53" t="n"/>
      <c r="C36" s="54" t="n"/>
      <c r="D36" s="54" t="n"/>
      <c r="E36" s="55" t="n"/>
      <c r="F36" s="54" t="n"/>
      <c r="G36" s="54" t="n"/>
    </row>
    <row r="37" ht="20" customHeight="1">
      <c r="B37" s="65" t="n"/>
      <c r="C37" s="66" t="n"/>
      <c r="D37" s="66" t="n"/>
      <c r="E37" s="67" t="n"/>
      <c r="F37" s="66" t="n"/>
      <c r="G37" s="66" t="n"/>
    </row>
    <row r="38" ht="20" customHeight="1">
      <c r="B38" s="53" t="n"/>
      <c r="C38" s="54" t="n"/>
      <c r="D38" s="54" t="n"/>
      <c r="E38" s="55" t="n"/>
      <c r="F38" s="54" t="n"/>
      <c r="G38" s="54" t="n"/>
    </row>
    <row r="39" ht="20" customHeight="1">
      <c r="B39" s="65" t="n"/>
      <c r="C39" s="66" t="n"/>
      <c r="D39" s="66" t="n"/>
      <c r="E39" s="67" t="n"/>
      <c r="F39" s="66" t="n"/>
      <c r="G39" s="66" t="n"/>
    </row>
    <row r="40" ht="20" customHeight="1">
      <c r="B40" s="53" t="n"/>
      <c r="C40" s="54" t="n"/>
      <c r="D40" s="54" t="n"/>
      <c r="E40" s="55" t="n"/>
      <c r="F40" s="54" t="n"/>
      <c r="G40" s="54" t="n"/>
    </row>
    <row r="41" ht="20" customHeight="1">
      <c r="B41" s="65" t="n"/>
      <c r="C41" s="66" t="n"/>
      <c r="D41" s="66" t="n"/>
      <c r="E41" s="67" t="n"/>
      <c r="F41" s="66" t="n"/>
      <c r="G41" s="66" t="n"/>
    </row>
    <row r="42" ht="20" customHeight="1">
      <c r="B42" s="53" t="n"/>
      <c r="C42" s="54" t="n"/>
      <c r="D42" s="54" t="n"/>
      <c r="E42" s="55" t="n"/>
      <c r="F42" s="54" t="n"/>
      <c r="G42" s="54" t="n"/>
    </row>
    <row r="43" ht="20" customHeight="1">
      <c r="B43" s="65" t="n"/>
      <c r="C43" s="66" t="n"/>
      <c r="D43" s="66" t="n"/>
      <c r="E43" s="67" t="n"/>
      <c r="F43" s="66" t="n"/>
      <c r="G43" s="66" t="n"/>
    </row>
    <row r="44" ht="20" customHeight="1">
      <c r="B44" s="53" t="n"/>
      <c r="C44" s="54" t="n"/>
      <c r="D44" s="54" t="n"/>
      <c r="E44" s="55" t="n"/>
      <c r="F44" s="54" t="n"/>
      <c r="G44" s="54" t="n"/>
    </row>
    <row r="45" ht="20" customHeight="1">
      <c r="B45" s="65" t="n"/>
      <c r="C45" s="66" t="n"/>
      <c r="D45" s="66" t="n"/>
      <c r="E45" s="67" t="n"/>
      <c r="F45" s="66" t="n"/>
      <c r="G45" s="66" t="n"/>
    </row>
    <row r="46" ht="20" customHeight="1">
      <c r="B46" s="53" t="n"/>
      <c r="C46" s="54" t="n"/>
      <c r="D46" s="54" t="n"/>
      <c r="E46" s="55" t="n"/>
      <c r="F46" s="54" t="n"/>
      <c r="G46" s="54" t="n"/>
    </row>
    <row r="47" ht="20" customHeight="1">
      <c r="B47" s="65" t="n"/>
      <c r="C47" s="66" t="n"/>
      <c r="D47" s="66" t="n"/>
      <c r="E47" s="67" t="n"/>
      <c r="F47" s="66" t="n"/>
      <c r="G47" s="66" t="n"/>
    </row>
    <row r="48" ht="20" customHeight="1">
      <c r="B48" s="53" t="n"/>
      <c r="C48" s="54" t="n"/>
      <c r="D48" s="54" t="n"/>
      <c r="E48" s="55" t="n"/>
      <c r="F48" s="54" t="n"/>
      <c r="G48" s="54" t="n"/>
    </row>
    <row r="49" ht="20" customHeight="1">
      <c r="B49" s="65" t="n"/>
      <c r="C49" s="66" t="n"/>
      <c r="D49" s="66" t="n"/>
      <c r="E49" s="67" t="n"/>
      <c r="F49" s="66" t="n"/>
      <c r="G49" s="66" t="n"/>
    </row>
    <row r="50" ht="20" customHeight="1">
      <c r="B50" s="53" t="n"/>
      <c r="C50" s="54" t="n"/>
      <c r="D50" s="54" t="n"/>
      <c r="E50" s="55" t="n"/>
      <c r="F50" s="54" t="n"/>
      <c r="G50" s="54" t="n"/>
    </row>
    <row r="51" ht="20" customHeight="1">
      <c r="B51" s="65" t="n"/>
      <c r="C51" s="66" t="n"/>
      <c r="D51" s="66" t="n"/>
      <c r="E51" s="67" t="n"/>
      <c r="F51" s="66" t="n"/>
      <c r="G51" s="66" t="n"/>
    </row>
    <row r="52" ht="20" customHeight="1">
      <c r="B52" s="53" t="n"/>
      <c r="C52" s="54" t="n"/>
      <c r="D52" s="54" t="n"/>
      <c r="E52" s="55" t="n"/>
      <c r="F52" s="54" t="n"/>
      <c r="G52" s="54" t="n"/>
    </row>
    <row r="53" ht="20" customHeight="1">
      <c r="B53" s="65" t="n"/>
      <c r="C53" s="66" t="n"/>
      <c r="D53" s="66" t="n"/>
      <c r="E53" s="67" t="n"/>
      <c r="F53" s="66" t="n"/>
      <c r="G53" s="66" t="n"/>
    </row>
    <row r="54" ht="20" customHeight="1">
      <c r="B54" s="53" t="n"/>
      <c r="C54" s="54" t="n"/>
      <c r="D54" s="54" t="n"/>
      <c r="E54" s="55" t="n"/>
      <c r="F54" s="54" t="n"/>
      <c r="G54" s="54" t="n"/>
    </row>
    <row r="55" ht="20" customHeight="1">
      <c r="B55" s="65" t="n"/>
      <c r="C55" s="66" t="n"/>
      <c r="D55" s="66" t="n"/>
      <c r="E55" s="67" t="n"/>
      <c r="F55" s="66" t="n"/>
      <c r="G55" s="66" t="n"/>
    </row>
    <row r="56" ht="20" customHeight="1">
      <c r="B56" s="53" t="n"/>
      <c r="C56" s="54" t="n"/>
      <c r="D56" s="54" t="n"/>
      <c r="E56" s="55" t="n"/>
      <c r="F56" s="54" t="n"/>
      <c r="G56" s="54" t="n"/>
    </row>
    <row r="57" ht="20" customHeight="1">
      <c r="B57" s="65" t="n"/>
      <c r="C57" s="66" t="n"/>
      <c r="D57" s="66" t="n"/>
      <c r="E57" s="67" t="n"/>
      <c r="F57" s="66" t="n"/>
      <c r="G57" s="66" t="n"/>
    </row>
    <row r="58" ht="20" customHeight="1">
      <c r="B58" s="53" t="n"/>
      <c r="C58" s="54" t="n"/>
      <c r="D58" s="54" t="n"/>
      <c r="E58" s="55" t="n"/>
      <c r="F58" s="54" t="n"/>
      <c r="G58" s="54" t="n"/>
    </row>
    <row r="59" ht="20" customHeight="1">
      <c r="B59" s="65" t="n"/>
      <c r="C59" s="66" t="n"/>
      <c r="D59" s="66" t="n"/>
      <c r="E59" s="67" t="n"/>
      <c r="F59" s="66" t="n"/>
      <c r="G59" s="66" t="n"/>
    </row>
    <row r="60" ht="20" customHeight="1">
      <c r="B60" s="53" t="n"/>
      <c r="C60" s="54" t="n"/>
      <c r="D60" s="54" t="n"/>
      <c r="E60" s="55" t="n"/>
      <c r="F60" s="54" t="n"/>
      <c r="G60" s="54" t="n"/>
    </row>
    <row r="61" ht="20" customHeight="1">
      <c r="B61" s="65" t="n"/>
      <c r="C61" s="66" t="n"/>
      <c r="D61" s="66" t="n"/>
      <c r="E61" s="67" t="n"/>
      <c r="F61" s="66" t="n"/>
      <c r="G61" s="66" t="n"/>
    </row>
    <row r="62" ht="20" customHeight="1">
      <c r="B62" s="53" t="n"/>
      <c r="C62" s="54" t="n"/>
      <c r="D62" s="54" t="n"/>
      <c r="E62" s="55" t="n"/>
      <c r="F62" s="54" t="n"/>
      <c r="G62" s="54" t="n"/>
    </row>
    <row r="63" ht="20" customHeight="1">
      <c r="B63" s="65" t="n"/>
      <c r="C63" s="66" t="n"/>
      <c r="D63" s="66" t="n"/>
      <c r="E63" s="67" t="n"/>
      <c r="F63" s="66" t="n"/>
      <c r="G63" s="66" t="n"/>
    </row>
    <row r="64" ht="20" customHeight="1">
      <c r="B64" s="53" t="n"/>
      <c r="C64" s="54" t="n"/>
      <c r="D64" s="54" t="n"/>
      <c r="E64" s="55" t="n"/>
      <c r="F64" s="54" t="n"/>
      <c r="G64" s="54" t="n"/>
    </row>
    <row r="65" ht="20" customHeight="1">
      <c r="B65" s="65" t="n"/>
      <c r="C65" s="66" t="n"/>
      <c r="D65" s="66" t="n"/>
      <c r="E65" s="67" t="n"/>
      <c r="F65" s="66" t="n"/>
      <c r="G65" s="66" t="n"/>
    </row>
    <row r="66" ht="20" customHeight="1">
      <c r="B66" s="53" t="n"/>
      <c r="C66" s="54" t="n"/>
      <c r="D66" s="54" t="n"/>
      <c r="E66" s="55" t="n"/>
      <c r="F66" s="54" t="n"/>
      <c r="G66" s="54" t="n"/>
    </row>
    <row r="67" ht="20" customHeight="1">
      <c r="B67" s="65" t="n"/>
      <c r="C67" s="66" t="n"/>
      <c r="D67" s="66" t="n"/>
      <c r="E67" s="67" t="n"/>
      <c r="F67" s="66" t="n"/>
      <c r="G67" s="66" t="n"/>
    </row>
    <row r="68" ht="20" customHeight="1">
      <c r="B68" s="53" t="n"/>
      <c r="C68" s="54" t="n"/>
      <c r="D68" s="54" t="n"/>
      <c r="E68" s="55" t="n"/>
      <c r="F68" s="54" t="n"/>
      <c r="G68" s="54" t="n"/>
    </row>
    <row r="69" ht="20" customHeight="1">
      <c r="B69" s="65" t="n"/>
      <c r="C69" s="66" t="n"/>
      <c r="D69" s="66" t="n"/>
      <c r="E69" s="67" t="n"/>
      <c r="F69" s="66" t="n"/>
      <c r="G69" s="66" t="n"/>
    </row>
    <row r="70" ht="20" customHeight="1">
      <c r="B70" s="53" t="n"/>
      <c r="C70" s="54" t="n"/>
      <c r="D70" s="54" t="n"/>
      <c r="E70" s="55" t="n"/>
      <c r="F70" s="54" t="n"/>
      <c r="G70" s="54" t="n"/>
    </row>
    <row r="71" ht="20" customHeight="1">
      <c r="B71" s="65" t="n"/>
      <c r="C71" s="66" t="n"/>
      <c r="D71" s="66" t="n"/>
      <c r="E71" s="67" t="n"/>
      <c r="F71" s="66" t="n"/>
      <c r="G71" s="66" t="n"/>
    </row>
    <row r="72" ht="20" customHeight="1">
      <c r="B72" s="53" t="n"/>
      <c r="C72" s="54" t="n"/>
      <c r="D72" s="54" t="n"/>
      <c r="E72" s="55" t="n"/>
      <c r="F72" s="54" t="n"/>
      <c r="G72" s="54" t="n"/>
    </row>
    <row r="73" ht="20" customHeight="1">
      <c r="B73" s="65" t="n"/>
      <c r="C73" s="66" t="n"/>
      <c r="D73" s="66" t="n"/>
      <c r="E73" s="67" t="n"/>
      <c r="F73" s="66" t="n"/>
      <c r="G73" s="66" t="n"/>
    </row>
    <row r="74" ht="20" customHeight="1">
      <c r="B74" s="53" t="n"/>
      <c r="C74" s="54" t="n"/>
      <c r="D74" s="54" t="n"/>
      <c r="E74" s="55" t="n"/>
      <c r="F74" s="54" t="n"/>
      <c r="G74" s="54" t="n"/>
    </row>
    <row r="75" ht="20" customHeight="1">
      <c r="B75" s="65" t="n"/>
      <c r="C75" s="66" t="n"/>
      <c r="D75" s="66" t="n"/>
      <c r="E75" s="67" t="n"/>
      <c r="F75" s="66" t="n"/>
      <c r="G75" s="66" t="n"/>
    </row>
    <row r="76" ht="20" customHeight="1">
      <c r="B76" s="53" t="n"/>
      <c r="C76" s="54" t="n"/>
      <c r="D76" s="54" t="n"/>
      <c r="E76" s="55" t="n"/>
      <c r="F76" s="54" t="n"/>
      <c r="G76" s="54" t="n"/>
    </row>
    <row r="77" ht="20" customHeight="1">
      <c r="B77" s="65" t="n"/>
      <c r="C77" s="66" t="n"/>
      <c r="D77" s="66" t="n"/>
      <c r="E77" s="67" t="n"/>
      <c r="F77" s="66" t="n"/>
      <c r="G77" s="66" t="n"/>
    </row>
    <row r="78" ht="20" customHeight="1">
      <c r="B78" s="53" t="n"/>
      <c r="C78" s="54" t="n"/>
      <c r="D78" s="54" t="n"/>
      <c r="E78" s="55" t="n"/>
      <c r="F78" s="54" t="n"/>
      <c r="G78" s="54" t="n"/>
    </row>
    <row r="79" ht="20" customHeight="1">
      <c r="B79" s="65" t="n"/>
      <c r="C79" s="66" t="n"/>
      <c r="D79" s="66" t="n"/>
      <c r="E79" s="67" t="n"/>
      <c r="F79" s="66" t="n"/>
      <c r="G79" s="66" t="n"/>
    </row>
    <row r="80" ht="20" customHeight="1">
      <c r="B80" s="53" t="n"/>
      <c r="C80" s="54" t="n"/>
      <c r="D80" s="54" t="n"/>
      <c r="E80" s="55" t="n"/>
      <c r="F80" s="54" t="n"/>
      <c r="G80" s="54" t="n"/>
    </row>
    <row r="81" ht="20" customHeight="1">
      <c r="B81" s="65" t="n"/>
      <c r="C81" s="66" t="n"/>
      <c r="D81" s="66" t="n"/>
      <c r="E81" s="67" t="n"/>
      <c r="F81" s="66" t="n"/>
      <c r="G81" s="66" t="n"/>
    </row>
    <row r="82" ht="20" customHeight="1">
      <c r="B82" s="53" t="n"/>
      <c r="C82" s="54" t="n"/>
      <c r="D82" s="54" t="n"/>
      <c r="E82" s="55" t="n"/>
      <c r="F82" s="54" t="n"/>
      <c r="G82" s="54" t="n"/>
    </row>
    <row r="83" ht="20" customHeight="1">
      <c r="B83" s="65" t="n"/>
      <c r="C83" s="66" t="n"/>
      <c r="D83" s="66" t="n"/>
      <c r="E83" s="67" t="n"/>
      <c r="F83" s="66" t="n"/>
      <c r="G83" s="66" t="n"/>
    </row>
    <row r="84" ht="20" customHeight="1">
      <c r="B84" s="53" t="n"/>
      <c r="C84" s="54" t="n"/>
      <c r="D84" s="54" t="n"/>
      <c r="E84" s="55" t="n"/>
      <c r="F84" s="54" t="n"/>
      <c r="G84" s="54" t="n"/>
    </row>
    <row r="85" ht="20" customHeight="1">
      <c r="B85" s="65" t="n"/>
      <c r="C85" s="66" t="n"/>
      <c r="D85" s="66" t="n"/>
      <c r="E85" s="67" t="n"/>
      <c r="F85" s="66" t="n"/>
      <c r="G85" s="66" t="n"/>
    </row>
    <row r="86" ht="20" customHeight="1">
      <c r="B86" s="53" t="n"/>
      <c r="C86" s="54" t="n"/>
      <c r="D86" s="54" t="n"/>
      <c r="E86" s="55" t="n"/>
      <c r="F86" s="54" t="n"/>
      <c r="G86" s="54" t="n"/>
    </row>
    <row r="87" ht="20" customHeight="1">
      <c r="B87" s="65" t="n"/>
      <c r="C87" s="66" t="n"/>
      <c r="D87" s="66" t="n"/>
      <c r="E87" s="67" t="n"/>
      <c r="F87" s="66" t="n"/>
      <c r="G87" s="66" t="n"/>
    </row>
    <row r="88" ht="20" customHeight="1">
      <c r="B88" s="53" t="n"/>
      <c r="C88" s="54" t="n"/>
      <c r="D88" s="54" t="n"/>
      <c r="E88" s="55" t="n"/>
      <c r="F88" s="54" t="n"/>
      <c r="G88" s="54" t="n"/>
    </row>
    <row r="89" ht="20" customHeight="1">
      <c r="B89" s="65" t="n"/>
      <c r="C89" s="66" t="n"/>
      <c r="D89" s="66" t="n"/>
      <c r="E89" s="67" t="n"/>
      <c r="F89" s="66" t="n"/>
      <c r="G89" s="66" t="n"/>
    </row>
    <row r="90" ht="20" customHeight="1">
      <c r="B90" s="53" t="n"/>
      <c r="C90" s="54" t="n"/>
      <c r="D90" s="54" t="n"/>
      <c r="E90" s="55" t="n"/>
      <c r="F90" s="54" t="n"/>
      <c r="G90" s="54" t="n"/>
    </row>
    <row r="91" ht="20" customHeight="1">
      <c r="B91" s="65" t="n"/>
      <c r="C91" s="66" t="n"/>
      <c r="D91" s="66" t="n"/>
      <c r="E91" s="67" t="n"/>
      <c r="F91" s="66" t="n"/>
      <c r="G91" s="66" t="n"/>
    </row>
    <row r="92" ht="20" customHeight="1">
      <c r="B92" s="53" t="n"/>
      <c r="C92" s="54" t="n"/>
      <c r="D92" s="54" t="n"/>
      <c r="E92" s="55" t="n"/>
      <c r="F92" s="54" t="n"/>
      <c r="G92" s="54" t="n"/>
    </row>
    <row r="93" ht="20" customHeight="1">
      <c r="B93" s="65" t="n"/>
      <c r="C93" s="66" t="n"/>
      <c r="D93" s="66" t="n"/>
      <c r="E93" s="67" t="n"/>
      <c r="F93" s="66" t="n"/>
      <c r="G93" s="66" t="n"/>
    </row>
    <row r="94" ht="20" customHeight="1">
      <c r="B94" s="53" t="n"/>
      <c r="C94" s="54" t="n"/>
      <c r="D94" s="54" t="n"/>
      <c r="E94" s="55" t="n"/>
      <c r="F94" s="54" t="n"/>
      <c r="G94" s="54" t="n"/>
    </row>
    <row r="95" ht="20" customHeight="1">
      <c r="B95" s="65" t="n"/>
      <c r="C95" s="66" t="n"/>
      <c r="D95" s="66" t="n"/>
      <c r="E95" s="67" t="n"/>
      <c r="F95" s="66" t="n"/>
      <c r="G95" s="66" t="n"/>
    </row>
    <row r="96" ht="20" customHeight="1">
      <c r="B96" s="53" t="n"/>
      <c r="C96" s="54" t="n"/>
      <c r="D96" s="54" t="n"/>
      <c r="E96" s="55" t="n"/>
      <c r="F96" s="54" t="n"/>
      <c r="G96" s="54" t="n"/>
    </row>
    <row r="97" ht="20" customHeight="1">
      <c r="B97" s="65" t="n"/>
      <c r="C97" s="66" t="n"/>
      <c r="D97" s="66" t="n"/>
      <c r="E97" s="67" t="n"/>
      <c r="F97" s="66" t="n"/>
      <c r="G97" s="66" t="n"/>
    </row>
    <row r="98" ht="20" customHeight="1">
      <c r="B98" s="53" t="n"/>
      <c r="C98" s="54" t="n"/>
      <c r="D98" s="54" t="n"/>
      <c r="E98" s="55" t="n"/>
      <c r="F98" s="54" t="n"/>
      <c r="G98" s="54" t="n"/>
    </row>
    <row r="99" ht="20" customHeight="1">
      <c r="B99" s="65" t="n"/>
      <c r="C99" s="66" t="n"/>
      <c r="D99" s="66" t="n"/>
      <c r="E99" s="67" t="n"/>
      <c r="F99" s="66" t="n"/>
      <c r="G99" s="66" t="n"/>
    </row>
    <row r="100" ht="20" customHeight="1">
      <c r="B100" s="53" t="n"/>
      <c r="C100" s="54" t="n"/>
      <c r="D100" s="54" t="n"/>
      <c r="E100" s="55" t="n"/>
      <c r="F100" s="54" t="n"/>
      <c r="G100" s="54" t="n"/>
    </row>
    <row r="101" ht="20" customHeight="1">
      <c r="B101" s="65" t="n"/>
      <c r="C101" s="66" t="n"/>
      <c r="D101" s="66" t="n"/>
      <c r="E101" s="67" t="n"/>
      <c r="F101" s="66" t="n"/>
      <c r="G101" s="66" t="n"/>
    </row>
    <row r="102" ht="20" customHeight="1">
      <c r="B102" s="53" t="n"/>
      <c r="C102" s="54" t="n"/>
      <c r="D102" s="54" t="n"/>
      <c r="E102" s="55" t="n"/>
      <c r="F102" s="54" t="n"/>
      <c r="G102" s="54" t="n"/>
    </row>
    <row r="103" ht="20" customHeight="1">
      <c r="B103" s="65" t="n"/>
      <c r="C103" s="66" t="n"/>
      <c r="D103" s="66" t="n"/>
      <c r="E103" s="67" t="n"/>
      <c r="F103" s="66" t="n"/>
      <c r="G103" s="66" t="n"/>
    </row>
    <row r="104" ht="20" customHeight="1">
      <c r="B104" s="53" t="n"/>
      <c r="C104" s="54" t="n"/>
      <c r="D104" s="54" t="n"/>
      <c r="E104" s="55" t="n"/>
      <c r="F104" s="54" t="n"/>
      <c r="G104" s="54" t="n"/>
    </row>
    <row r="105" ht="20" customHeight="1">
      <c r="B105" s="65" t="n"/>
      <c r="C105" s="66" t="n"/>
      <c r="D105" s="66" t="n"/>
      <c r="E105" s="67" t="n"/>
      <c r="F105" s="66" t="n"/>
      <c r="G105" s="66" t="n"/>
    </row>
    <row r="106" ht="20" customHeight="1">
      <c r="B106" s="53" t="n"/>
      <c r="C106" s="54" t="n"/>
      <c r="D106" s="54" t="n"/>
      <c r="E106" s="55" t="n"/>
      <c r="F106" s="54" t="n"/>
      <c r="G106" s="54" t="n"/>
    </row>
    <row r="107" ht="20" customHeight="1">
      <c r="B107" s="65" t="n"/>
      <c r="C107" s="66" t="n"/>
      <c r="D107" s="66" t="n"/>
      <c r="E107" s="67" t="n"/>
      <c r="F107" s="66" t="n"/>
      <c r="G107" s="66" t="n"/>
    </row>
    <row r="108" ht="20" customHeight="1">
      <c r="B108" s="53" t="n"/>
      <c r="C108" s="54" t="n"/>
      <c r="D108" s="54" t="n"/>
      <c r="E108" s="55" t="n"/>
      <c r="F108" s="54" t="n"/>
      <c r="G108" s="54" t="n"/>
    </row>
    <row r="109" ht="20" customHeight="1">
      <c r="B109" s="65" t="n"/>
      <c r="C109" s="66" t="n"/>
      <c r="D109" s="66" t="n"/>
      <c r="E109" s="67" t="n"/>
      <c r="F109" s="66" t="n"/>
      <c r="G109" s="66" t="n"/>
    </row>
    <row r="110" ht="20" customHeight="1">
      <c r="B110" s="53" t="n"/>
      <c r="C110" s="54" t="n"/>
      <c r="D110" s="54" t="n"/>
      <c r="E110" s="55" t="n"/>
      <c r="F110" s="54" t="n"/>
      <c r="G110" s="54" t="n"/>
    </row>
    <row r="111" ht="20" customHeight="1">
      <c r="B111" s="65" t="n"/>
      <c r="C111" s="66" t="n"/>
      <c r="D111" s="66" t="n"/>
      <c r="E111" s="67" t="n"/>
      <c r="F111" s="66" t="n"/>
      <c r="G111" s="66" t="n"/>
    </row>
    <row r="112" ht="20" customHeight="1">
      <c r="B112" s="53" t="n"/>
      <c r="C112" s="54" t="n"/>
      <c r="D112" s="54" t="n"/>
      <c r="E112" s="55" t="n"/>
      <c r="F112" s="54" t="n"/>
      <c r="G112" s="54" t="n"/>
    </row>
    <row r="113" ht="20" customHeight="1">
      <c r="B113" s="65" t="n"/>
      <c r="C113" s="66" t="n"/>
      <c r="D113" s="66" t="n"/>
      <c r="E113" s="67" t="n"/>
      <c r="F113" s="66" t="n"/>
      <c r="G113" s="66" t="n"/>
    </row>
    <row r="114" ht="20" customHeight="1">
      <c r="B114" s="53" t="n"/>
      <c r="C114" s="54" t="n"/>
      <c r="D114" s="54" t="n"/>
      <c r="E114" s="55" t="n"/>
      <c r="F114" s="54" t="n"/>
      <c r="G114" s="54" t="n"/>
    </row>
    <row r="115" ht="20" customHeight="1">
      <c r="B115" s="65" t="n"/>
      <c r="C115" s="66" t="n"/>
      <c r="D115" s="66" t="n"/>
      <c r="E115" s="67" t="n"/>
      <c r="F115" s="66" t="n"/>
      <c r="G115" s="66" t="n"/>
    </row>
    <row r="116" ht="20" customHeight="1">
      <c r="B116" s="53" t="n"/>
      <c r="C116" s="54" t="n"/>
      <c r="D116" s="54" t="n"/>
      <c r="E116" s="55" t="n"/>
      <c r="F116" s="54" t="n"/>
      <c r="G116" s="54" t="n"/>
    </row>
    <row r="117" ht="20" customHeight="1">
      <c r="B117" s="65" t="n"/>
      <c r="C117" s="66" t="n"/>
      <c r="D117" s="66" t="n"/>
      <c r="E117" s="67" t="n"/>
      <c r="F117" s="66" t="n"/>
      <c r="G117" s="66" t="n"/>
    </row>
    <row r="118" ht="20" customHeight="1">
      <c r="B118" s="53" t="n"/>
      <c r="C118" s="54" t="n"/>
      <c r="D118" s="54" t="n"/>
      <c r="E118" s="55" t="n"/>
      <c r="F118" s="54" t="n"/>
      <c r="G118" s="54" t="n"/>
    </row>
    <row r="119" ht="20" customHeight="1">
      <c r="B119" s="65" t="n"/>
      <c r="C119" s="66" t="n"/>
      <c r="D119" s="66" t="n"/>
      <c r="E119" s="67" t="n"/>
      <c r="F119" s="66" t="n"/>
      <c r="G119" s="66" t="n"/>
    </row>
    <row r="120" ht="20" customHeight="1">
      <c r="B120" s="53" t="n"/>
      <c r="C120" s="54" t="n"/>
      <c r="D120" s="54" t="n"/>
      <c r="E120" s="55" t="n"/>
      <c r="F120" s="54" t="n"/>
      <c r="G120" s="54" t="n"/>
    </row>
    <row r="121" ht="20" customHeight="1">
      <c r="B121" s="65" t="n"/>
      <c r="C121" s="66" t="n"/>
      <c r="D121" s="66" t="n"/>
      <c r="E121" s="67" t="n"/>
      <c r="F121" s="66" t="n"/>
      <c r="G121" s="66" t="n"/>
    </row>
    <row r="122" ht="20" customHeight="1">
      <c r="B122" s="53" t="n"/>
      <c r="C122" s="54" t="n"/>
      <c r="D122" s="54" t="n"/>
      <c r="E122" s="55" t="n"/>
      <c r="F122" s="54" t="n"/>
      <c r="G122" s="54" t="n"/>
    </row>
    <row r="123" ht="20" customHeight="1">
      <c r="B123" s="65" t="n"/>
      <c r="C123" s="66" t="n"/>
      <c r="D123" s="66" t="n"/>
      <c r="E123" s="67" t="n"/>
      <c r="F123" s="66" t="n"/>
      <c r="G123" s="66" t="n"/>
    </row>
    <row r="124" ht="20" customHeight="1">
      <c r="B124" s="53" t="n"/>
      <c r="C124" s="54" t="n"/>
      <c r="D124" s="54" t="n"/>
      <c r="E124" s="55" t="n"/>
      <c r="F124" s="54" t="n"/>
      <c r="G124" s="54" t="n"/>
    </row>
    <row r="125" ht="20" customHeight="1">
      <c r="B125" s="65" t="n"/>
      <c r="C125" s="66" t="n"/>
      <c r="D125" s="66" t="n"/>
      <c r="E125" s="67" t="n"/>
      <c r="F125" s="66" t="n"/>
      <c r="G125" s="66" t="n"/>
    </row>
    <row r="126" ht="20" customHeight="1">
      <c r="B126" s="53" t="n"/>
      <c r="C126" s="54" t="n"/>
      <c r="D126" s="54" t="n"/>
      <c r="E126" s="55" t="n"/>
      <c r="F126" s="54" t="n"/>
      <c r="G126" s="54" t="n"/>
    </row>
    <row r="127" ht="20" customHeight="1">
      <c r="B127" s="65" t="n"/>
      <c r="C127" s="66" t="n"/>
      <c r="D127" s="66" t="n"/>
      <c r="E127" s="67" t="n"/>
      <c r="F127" s="66" t="n"/>
      <c r="G127" s="66" t="n"/>
    </row>
    <row r="128" ht="20" customHeight="1">
      <c r="B128" s="53" t="n"/>
      <c r="C128" s="54" t="n"/>
      <c r="D128" s="54" t="n"/>
      <c r="E128" s="55" t="n"/>
      <c r="F128" s="54" t="n"/>
      <c r="G128" s="54" t="n"/>
    </row>
    <row r="129" ht="20" customHeight="1">
      <c r="B129" s="65" t="n"/>
      <c r="C129" s="66" t="n"/>
      <c r="D129" s="66" t="n"/>
      <c r="E129" s="67" t="n"/>
      <c r="F129" s="66" t="n"/>
      <c r="G129" s="66" t="n"/>
    </row>
    <row r="130" ht="20" customHeight="1">
      <c r="B130" s="53" t="n"/>
      <c r="C130" s="54" t="n"/>
      <c r="D130" s="54" t="n"/>
      <c r="E130" s="55" t="n"/>
      <c r="F130" s="54" t="n"/>
      <c r="G130" s="54" t="n"/>
    </row>
    <row r="131" ht="20" customHeight="1">
      <c r="B131" s="65" t="n"/>
      <c r="C131" s="66" t="n"/>
      <c r="D131" s="66" t="n"/>
      <c r="E131" s="67" t="n"/>
      <c r="F131" s="66" t="n"/>
      <c r="G131" s="66" t="n"/>
    </row>
    <row r="132" ht="20" customHeight="1">
      <c r="B132" s="53" t="n"/>
      <c r="C132" s="54" t="n"/>
      <c r="D132" s="54" t="n"/>
      <c r="E132" s="55" t="n"/>
      <c r="F132" s="54" t="n"/>
      <c r="G132" s="54" t="n"/>
    </row>
    <row r="133" ht="20" customHeight="1">
      <c r="B133" s="65" t="n"/>
      <c r="C133" s="66" t="n"/>
      <c r="D133" s="66" t="n"/>
      <c r="E133" s="67" t="n"/>
      <c r="F133" s="66" t="n"/>
      <c r="G133" s="66" t="n"/>
    </row>
    <row r="134" ht="20" customHeight="1">
      <c r="B134" s="53" t="n"/>
      <c r="C134" s="54" t="n"/>
      <c r="D134" s="54" t="n"/>
      <c r="E134" s="55" t="n"/>
      <c r="F134" s="54" t="n"/>
      <c r="G134" s="54" t="n"/>
    </row>
    <row r="135" ht="20" customHeight="1">
      <c r="B135" s="65" t="n"/>
      <c r="C135" s="66" t="n"/>
      <c r="D135" s="66" t="n"/>
      <c r="E135" s="67" t="n"/>
      <c r="F135" s="66" t="n"/>
      <c r="G135" s="66" t="n"/>
    </row>
    <row r="136" ht="20" customHeight="1">
      <c r="B136" s="53" t="n"/>
      <c r="C136" s="54" t="n"/>
      <c r="D136" s="54" t="n"/>
      <c r="E136" s="55" t="n"/>
      <c r="F136" s="54" t="n"/>
      <c r="G136" s="54" t="n"/>
    </row>
    <row r="137" ht="20" customHeight="1">
      <c r="B137" s="65" t="n"/>
      <c r="C137" s="66" t="n"/>
      <c r="D137" s="66" t="n"/>
      <c r="E137" s="67" t="n"/>
      <c r="F137" s="66" t="n"/>
      <c r="G137" s="66" t="n"/>
    </row>
    <row r="138" ht="20" customHeight="1">
      <c r="B138" s="53" t="n"/>
      <c r="C138" s="54" t="n"/>
      <c r="D138" s="54" t="n"/>
      <c r="E138" s="55" t="n"/>
      <c r="F138" s="54" t="n"/>
      <c r="G138" s="54" t="n"/>
    </row>
    <row r="139" ht="20" customHeight="1">
      <c r="B139" s="65" t="n"/>
      <c r="C139" s="66" t="n"/>
      <c r="D139" s="66" t="n"/>
      <c r="E139" s="67" t="n"/>
      <c r="F139" s="66" t="n"/>
      <c r="G139" s="66" t="n"/>
    </row>
    <row r="140" ht="20" customHeight="1">
      <c r="B140" s="53" t="n"/>
      <c r="C140" s="54" t="n"/>
      <c r="D140" s="54" t="n"/>
      <c r="E140" s="55" t="n"/>
      <c r="F140" s="54" t="n"/>
      <c r="G140" s="54" t="n"/>
    </row>
    <row r="141" ht="20" customHeight="1">
      <c r="B141" s="65" t="n"/>
      <c r="C141" s="66" t="n"/>
      <c r="D141" s="66" t="n"/>
      <c r="E141" s="67" t="n"/>
      <c r="F141" s="66" t="n"/>
      <c r="G141" s="66" t="n"/>
    </row>
    <row r="142" ht="20" customHeight="1">
      <c r="B142" s="53" t="n"/>
      <c r="C142" s="54" t="n"/>
      <c r="D142" s="54" t="n"/>
      <c r="E142" s="55" t="n"/>
      <c r="F142" s="54" t="n"/>
      <c r="G142" s="54" t="n"/>
    </row>
    <row r="143" ht="20" customHeight="1">
      <c r="B143" s="65" t="n"/>
      <c r="C143" s="66" t="n"/>
      <c r="D143" s="66" t="n"/>
      <c r="E143" s="67" t="n"/>
      <c r="F143" s="66" t="n"/>
      <c r="G143" s="66" t="n"/>
    </row>
    <row r="144" ht="20" customHeight="1">
      <c r="B144" s="53" t="n"/>
      <c r="C144" s="54" t="n"/>
      <c r="D144" s="54" t="n"/>
      <c r="E144" s="55" t="n"/>
      <c r="F144" s="54" t="n"/>
      <c r="G144" s="54" t="n"/>
    </row>
    <row r="145" ht="20" customHeight="1">
      <c r="B145" s="65" t="n"/>
      <c r="C145" s="66" t="n"/>
      <c r="D145" s="66" t="n"/>
      <c r="E145" s="67" t="n"/>
      <c r="F145" s="66" t="n"/>
      <c r="G145" s="66" t="n"/>
    </row>
    <row r="146" ht="20" customHeight="1">
      <c r="B146" s="53" t="n"/>
      <c r="C146" s="54" t="n"/>
      <c r="D146" s="54" t="n"/>
      <c r="E146" s="55" t="n"/>
      <c r="F146" s="54" t="n"/>
      <c r="G146" s="54" t="n"/>
    </row>
    <row r="147" ht="20" customHeight="1">
      <c r="B147" s="65" t="n"/>
      <c r="C147" s="66" t="n"/>
      <c r="D147" s="66" t="n"/>
      <c r="E147" s="67" t="n"/>
      <c r="F147" s="66" t="n"/>
      <c r="G147" s="66" t="n"/>
    </row>
    <row r="148" ht="20" customHeight="1">
      <c r="B148" s="53" t="n"/>
      <c r="C148" s="54" t="n"/>
      <c r="D148" s="54" t="n"/>
      <c r="E148" s="55" t="n"/>
      <c r="F148" s="54" t="n"/>
      <c r="G148" s="54" t="n"/>
    </row>
    <row r="149" ht="20" customHeight="1">
      <c r="B149" s="65" t="n"/>
      <c r="C149" s="66" t="n"/>
      <c r="D149" s="66" t="n"/>
      <c r="E149" s="67" t="n"/>
      <c r="F149" s="66" t="n"/>
      <c r="G149" s="66" t="n"/>
    </row>
    <row r="150" ht="20" customHeight="1">
      <c r="B150" s="53" t="n"/>
      <c r="C150" s="54" t="n"/>
      <c r="D150" s="54" t="n"/>
      <c r="E150" s="55" t="n"/>
      <c r="F150" s="54" t="n"/>
      <c r="G150" s="54" t="n"/>
    </row>
    <row r="151" ht="20" customHeight="1">
      <c r="B151" s="65" t="n"/>
      <c r="C151" s="66" t="n"/>
      <c r="D151" s="66" t="n"/>
      <c r="E151" s="67" t="n"/>
      <c r="F151" s="66" t="n"/>
      <c r="G151" s="66" t="n"/>
    </row>
    <row r="152" ht="20" customHeight="1">
      <c r="B152" s="53" t="n"/>
      <c r="C152" s="54" t="n"/>
      <c r="D152" s="54" t="n"/>
      <c r="E152" s="55" t="n"/>
      <c r="F152" s="54" t="n"/>
      <c r="G152" s="54" t="n"/>
    </row>
    <row r="153" ht="20" customHeight="1">
      <c r="B153" s="65" t="n"/>
      <c r="C153" s="66" t="n"/>
      <c r="D153" s="66" t="n"/>
      <c r="E153" s="67" t="n"/>
      <c r="F153" s="66" t="n"/>
      <c r="G153" s="66" t="n"/>
    </row>
    <row r="154" ht="20" customHeight="1">
      <c r="B154" s="53" t="n"/>
      <c r="C154" s="54" t="n"/>
      <c r="D154" s="54" t="n"/>
      <c r="E154" s="55" t="n"/>
      <c r="F154" s="54" t="n"/>
      <c r="G154" s="54" t="n"/>
    </row>
    <row r="155" ht="20" customHeight="1">
      <c r="B155" s="65" t="n"/>
      <c r="C155" s="66" t="n"/>
      <c r="D155" s="66" t="n"/>
      <c r="E155" s="67" t="n"/>
      <c r="F155" s="66" t="n"/>
      <c r="G155" s="66" t="n"/>
    </row>
    <row r="156" ht="20" customHeight="1">
      <c r="B156" s="53" t="n"/>
      <c r="C156" s="54" t="n"/>
      <c r="D156" s="54" t="n"/>
      <c r="E156" s="55" t="n"/>
      <c r="F156" s="54" t="n"/>
      <c r="G156" s="54" t="n"/>
    </row>
    <row r="157" ht="20" customHeight="1">
      <c r="B157" s="65" t="n"/>
      <c r="C157" s="66" t="n"/>
      <c r="D157" s="66" t="n"/>
      <c r="E157" s="67" t="n"/>
      <c r="F157" s="66" t="n"/>
      <c r="G157" s="66" t="n"/>
    </row>
    <row r="158" ht="20" customHeight="1">
      <c r="B158" s="53" t="n"/>
      <c r="C158" s="54" t="n"/>
      <c r="D158" s="54" t="n"/>
      <c r="E158" s="55" t="n"/>
      <c r="F158" s="54" t="n"/>
      <c r="G158" s="54" t="n"/>
    </row>
    <row r="159" ht="20" customHeight="1">
      <c r="B159" s="65" t="n"/>
      <c r="C159" s="66" t="n"/>
      <c r="D159" s="66" t="n"/>
      <c r="E159" s="67" t="n"/>
      <c r="F159" s="66" t="n"/>
      <c r="G159" s="66" t="n"/>
    </row>
    <row r="160" ht="20" customHeight="1">
      <c r="B160" s="53" t="n"/>
      <c r="C160" s="54" t="n"/>
      <c r="D160" s="54" t="n"/>
      <c r="E160" s="55" t="n"/>
      <c r="F160" s="54" t="n"/>
      <c r="G160" s="54" t="n"/>
    </row>
    <row r="161" ht="20" customHeight="1">
      <c r="B161" s="65" t="n"/>
      <c r="C161" s="66" t="n"/>
      <c r="D161" s="66" t="n"/>
      <c r="E161" s="67" t="n"/>
      <c r="F161" s="66" t="n"/>
      <c r="G161" s="66" t="n"/>
    </row>
    <row r="162" ht="20" customHeight="1">
      <c r="B162" s="53" t="n"/>
      <c r="C162" s="54" t="n"/>
      <c r="D162" s="54" t="n"/>
      <c r="E162" s="55" t="n"/>
      <c r="F162" s="54" t="n"/>
      <c r="G162" s="54" t="n"/>
    </row>
    <row r="163" ht="20" customHeight="1">
      <c r="B163" s="65" t="n"/>
      <c r="C163" s="66" t="n"/>
      <c r="D163" s="66" t="n"/>
      <c r="E163" s="67" t="n"/>
      <c r="F163" s="66" t="n"/>
      <c r="G163" s="66" t="n"/>
    </row>
    <row r="164" ht="20" customHeight="1">
      <c r="B164" s="53" t="n"/>
      <c r="C164" s="54" t="n"/>
      <c r="D164" s="54" t="n"/>
      <c r="E164" s="55" t="n"/>
      <c r="F164" s="54" t="n"/>
      <c r="G164" s="54" t="n"/>
    </row>
    <row r="165" ht="20" customHeight="1">
      <c r="B165" s="65" t="n"/>
      <c r="C165" s="66" t="n"/>
      <c r="D165" s="66" t="n"/>
      <c r="E165" s="67" t="n"/>
      <c r="F165" s="66" t="n"/>
      <c r="G165" s="66" t="n"/>
    </row>
    <row r="166" ht="20" customHeight="1">
      <c r="B166" s="53" t="n"/>
      <c r="C166" s="54" t="n"/>
      <c r="D166" s="54" t="n"/>
      <c r="E166" s="55" t="n"/>
      <c r="F166" s="54" t="n"/>
      <c r="G166" s="54" t="n"/>
    </row>
    <row r="167" ht="20" customHeight="1">
      <c r="B167" s="65" t="n"/>
      <c r="C167" s="66" t="n"/>
      <c r="D167" s="66" t="n"/>
      <c r="E167" s="67" t="n"/>
      <c r="F167" s="66" t="n"/>
      <c r="G167" s="66" t="n"/>
    </row>
    <row r="168" ht="20" customHeight="1">
      <c r="B168" s="53" t="n"/>
      <c r="C168" s="54" t="n"/>
      <c r="D168" s="54" t="n"/>
      <c r="E168" s="55" t="n"/>
      <c r="F168" s="54" t="n"/>
      <c r="G168" s="54" t="n"/>
    </row>
    <row r="169" ht="20" customHeight="1">
      <c r="B169" s="65" t="n"/>
      <c r="C169" s="66" t="n"/>
      <c r="D169" s="66" t="n"/>
      <c r="E169" s="67" t="n"/>
      <c r="F169" s="66" t="n"/>
      <c r="G169" s="66" t="n"/>
    </row>
    <row r="170" ht="20" customHeight="1">
      <c r="B170" s="53" t="n"/>
      <c r="C170" s="54" t="n"/>
      <c r="D170" s="54" t="n"/>
      <c r="E170" s="55" t="n"/>
      <c r="F170" s="54" t="n"/>
      <c r="G170" s="54" t="n"/>
    </row>
    <row r="171" ht="20" customHeight="1">
      <c r="B171" s="65" t="n"/>
      <c r="C171" s="66" t="n"/>
      <c r="D171" s="66" t="n"/>
      <c r="E171" s="67" t="n"/>
      <c r="F171" s="66" t="n"/>
      <c r="G171" s="66" t="n"/>
    </row>
    <row r="172" ht="20" customHeight="1">
      <c r="B172" s="53" t="n"/>
      <c r="C172" s="54" t="n"/>
      <c r="D172" s="54" t="n"/>
      <c r="E172" s="55" t="n"/>
      <c r="F172" s="54" t="n"/>
      <c r="G172" s="54" t="n"/>
    </row>
    <row r="173" ht="20" customHeight="1">
      <c r="B173" s="65" t="n"/>
      <c r="C173" s="66" t="n"/>
      <c r="D173" s="66" t="n"/>
      <c r="E173" s="67" t="n"/>
      <c r="F173" s="66" t="n"/>
      <c r="G173" s="66" t="n"/>
    </row>
    <row r="174" ht="20" customHeight="1">
      <c r="B174" s="53" t="n"/>
      <c r="C174" s="54" t="n"/>
      <c r="D174" s="54" t="n"/>
      <c r="E174" s="55" t="n"/>
      <c r="F174" s="54" t="n"/>
      <c r="G174" s="54" t="n"/>
    </row>
    <row r="175" ht="20" customHeight="1">
      <c r="B175" s="65" t="n"/>
      <c r="C175" s="66" t="n"/>
      <c r="D175" s="66" t="n"/>
      <c r="E175" s="67" t="n"/>
      <c r="F175" s="66" t="n"/>
      <c r="G175" s="66" t="n"/>
    </row>
    <row r="176" ht="20" customHeight="1">
      <c r="B176" s="53" t="n"/>
      <c r="C176" s="54" t="n"/>
      <c r="D176" s="54" t="n"/>
      <c r="E176" s="55" t="n"/>
      <c r="F176" s="54" t="n"/>
      <c r="G176" s="54" t="n"/>
    </row>
    <row r="177" ht="20" customHeight="1">
      <c r="B177" s="65" t="n"/>
      <c r="C177" s="66" t="n"/>
      <c r="D177" s="66" t="n"/>
      <c r="E177" s="67" t="n"/>
      <c r="F177" s="66" t="n"/>
      <c r="G177" s="66" t="n"/>
    </row>
    <row r="178" ht="20" customHeight="1">
      <c r="B178" s="53" t="n"/>
      <c r="C178" s="54" t="n"/>
      <c r="D178" s="54" t="n"/>
      <c r="E178" s="55" t="n"/>
      <c r="F178" s="54" t="n"/>
      <c r="G178" s="54" t="n"/>
    </row>
    <row r="179" ht="20" customHeight="1">
      <c r="B179" s="65" t="n"/>
      <c r="C179" s="66" t="n"/>
      <c r="D179" s="66" t="n"/>
      <c r="E179" s="67" t="n"/>
      <c r="F179" s="66" t="n"/>
      <c r="G179" s="66" t="n"/>
    </row>
    <row r="180" ht="20" customHeight="1">
      <c r="B180" s="53" t="n"/>
      <c r="C180" s="54" t="n"/>
      <c r="D180" s="54" t="n"/>
      <c r="E180" s="55" t="n"/>
      <c r="F180" s="54" t="n"/>
      <c r="G180" s="54" t="n"/>
    </row>
    <row r="181" ht="20" customHeight="1">
      <c r="B181" s="65" t="n"/>
      <c r="C181" s="66" t="n"/>
      <c r="D181" s="66" t="n"/>
      <c r="E181" s="67" t="n"/>
      <c r="F181" s="66" t="n"/>
      <c r="G181" s="66" t="n"/>
    </row>
    <row r="182" ht="20" customHeight="1">
      <c r="B182" s="53" t="n"/>
      <c r="C182" s="54" t="n"/>
      <c r="D182" s="54" t="n"/>
      <c r="E182" s="55" t="n"/>
      <c r="F182" s="54" t="n"/>
      <c r="G182" s="54" t="n"/>
    </row>
    <row r="183" ht="20" customHeight="1">
      <c r="B183" s="65" t="n"/>
      <c r="C183" s="66" t="n"/>
      <c r="D183" s="66" t="n"/>
      <c r="E183" s="67" t="n"/>
      <c r="F183" s="66" t="n"/>
      <c r="G183" s="66" t="n"/>
    </row>
    <row r="184" ht="20" customHeight="1">
      <c r="B184" s="53" t="n"/>
      <c r="C184" s="54" t="n"/>
      <c r="D184" s="54" t="n"/>
      <c r="E184" s="55" t="n"/>
      <c r="F184" s="54" t="n"/>
      <c r="G184" s="54" t="n"/>
    </row>
    <row r="185" ht="20" customHeight="1">
      <c r="B185" s="65" t="n"/>
      <c r="C185" s="66" t="n"/>
      <c r="D185" s="66" t="n"/>
      <c r="E185" s="67" t="n"/>
      <c r="F185" s="66" t="n"/>
      <c r="G185" s="66" t="n"/>
    </row>
    <row r="186" ht="20" customHeight="1">
      <c r="B186" s="53" t="n"/>
      <c r="C186" s="54" t="n"/>
      <c r="D186" s="54" t="n"/>
      <c r="E186" s="55" t="n"/>
      <c r="F186" s="54" t="n"/>
      <c r="G186" s="54" t="n"/>
    </row>
    <row r="187" ht="20" customHeight="1">
      <c r="B187" s="65" t="n"/>
      <c r="C187" s="66" t="n"/>
      <c r="D187" s="66" t="n"/>
      <c r="E187" s="67" t="n"/>
      <c r="F187" s="66" t="n"/>
      <c r="G187" s="66" t="n"/>
    </row>
    <row r="188" ht="20" customHeight="1">
      <c r="B188" s="53" t="n"/>
      <c r="C188" s="54" t="n"/>
      <c r="D188" s="54" t="n"/>
      <c r="E188" s="55" t="n"/>
      <c r="F188" s="54" t="n"/>
      <c r="G188" s="54" t="n"/>
    </row>
    <row r="189" ht="20" customHeight="1">
      <c r="B189" s="65" t="n"/>
      <c r="C189" s="66" t="n"/>
      <c r="D189" s="66" t="n"/>
      <c r="E189" s="67" t="n"/>
      <c r="F189" s="66" t="n"/>
      <c r="G189" s="66" t="n"/>
    </row>
    <row r="190" ht="20" customHeight="1">
      <c r="B190" s="53" t="n"/>
      <c r="C190" s="54" t="n"/>
      <c r="D190" s="54" t="n"/>
      <c r="E190" s="55" t="n"/>
      <c r="F190" s="54" t="n"/>
      <c r="G190" s="54" t="n"/>
    </row>
    <row r="191" ht="20" customHeight="1">
      <c r="B191" s="65" t="n"/>
      <c r="C191" s="66" t="n"/>
      <c r="D191" s="66" t="n"/>
      <c r="E191" s="67" t="n"/>
      <c r="F191" s="66" t="n"/>
      <c r="G191" s="66" t="n"/>
    </row>
    <row r="192" ht="20" customHeight="1">
      <c r="B192" s="53" t="n"/>
      <c r="C192" s="54" t="n"/>
      <c r="D192" s="54" t="n"/>
      <c r="E192" s="55" t="n"/>
      <c r="F192" s="54" t="n"/>
      <c r="G192" s="54" t="n"/>
    </row>
    <row r="193" ht="20" customHeight="1">
      <c r="B193" s="65" t="n"/>
      <c r="C193" s="66" t="n"/>
      <c r="D193" s="66" t="n"/>
      <c r="E193" s="67" t="n"/>
      <c r="F193" s="66" t="n"/>
      <c r="G193" s="66" t="n"/>
    </row>
    <row r="194" ht="20" customHeight="1">
      <c r="B194" s="53" t="n"/>
      <c r="C194" s="54" t="n"/>
      <c r="D194" s="54" t="n"/>
      <c r="E194" s="55" t="n"/>
      <c r="F194" s="54" t="n"/>
      <c r="G194" s="54" t="n"/>
    </row>
    <row r="195" ht="20" customHeight="1">
      <c r="B195" s="65" t="n"/>
      <c r="C195" s="66" t="n"/>
      <c r="D195" s="66" t="n"/>
      <c r="E195" s="67" t="n"/>
      <c r="F195" s="66" t="n"/>
      <c r="G195" s="66" t="n"/>
    </row>
    <row r="196" ht="20" customHeight="1">
      <c r="B196" s="53" t="n"/>
      <c r="C196" s="54" t="n"/>
      <c r="D196" s="54" t="n"/>
      <c r="E196" s="55" t="n"/>
      <c r="F196" s="54" t="n"/>
      <c r="G196" s="54" t="n"/>
    </row>
    <row r="197" ht="20" customHeight="1">
      <c r="B197" s="65" t="n"/>
      <c r="C197" s="66" t="n"/>
      <c r="D197" s="66" t="n"/>
      <c r="E197" s="67" t="n"/>
      <c r="F197" s="66" t="n"/>
      <c r="G197" s="66" t="n"/>
    </row>
    <row r="198" ht="20" customHeight="1">
      <c r="B198" s="53" t="n"/>
      <c r="C198" s="54" t="n"/>
      <c r="D198" s="54" t="n"/>
      <c r="E198" s="55" t="n"/>
      <c r="F198" s="54" t="n"/>
      <c r="G198" s="54" t="n"/>
    </row>
    <row r="199" ht="20" customHeight="1">
      <c r="B199" s="65" t="n"/>
      <c r="C199" s="66" t="n"/>
      <c r="D199" s="66" t="n"/>
      <c r="E199" s="67" t="n"/>
      <c r="F199" s="66" t="n"/>
      <c r="G199" s="66" t="n"/>
    </row>
    <row r="200" ht="20" customHeight="1">
      <c r="B200" s="53" t="n"/>
      <c r="C200" s="54" t="n"/>
      <c r="D200" s="54" t="n"/>
      <c r="E200" s="55" t="n"/>
      <c r="F200" s="54" t="n"/>
      <c r="G200" s="54" t="n"/>
    </row>
    <row r="201" ht="20" customHeight="1">
      <c r="B201" s="65" t="n"/>
      <c r="C201" s="66" t="n"/>
      <c r="D201" s="66" t="n"/>
      <c r="E201" s="67" t="n"/>
      <c r="F201" s="66" t="n"/>
      <c r="G201" s="66" t="n"/>
    </row>
    <row r="202" ht="20" customHeight="1">
      <c r="B202" s="53" t="n"/>
      <c r="C202" s="54" t="n"/>
      <c r="D202" s="54" t="n"/>
      <c r="E202" s="55" t="n"/>
      <c r="F202" s="54" t="n"/>
      <c r="G202" s="54" t="n"/>
    </row>
    <row r="203" ht="20" customHeight="1">
      <c r="B203" s="65" t="n"/>
      <c r="C203" s="66" t="n"/>
      <c r="D203" s="66" t="n"/>
      <c r="E203" s="67" t="n"/>
      <c r="F203" s="66" t="n"/>
      <c r="G203" s="66" t="n"/>
    </row>
    <row r="204" ht="20" customHeight="1">
      <c r="B204" s="53" t="n"/>
      <c r="C204" s="54" t="n"/>
      <c r="D204" s="54" t="n"/>
      <c r="E204" s="55" t="n"/>
      <c r="F204" s="54" t="n"/>
      <c r="G204" s="54" t="n"/>
    </row>
    <row r="205" ht="20" customHeight="1">
      <c r="B205" s="65" t="n"/>
      <c r="C205" s="66" t="n"/>
      <c r="D205" s="66" t="n"/>
      <c r="E205" s="67" t="n"/>
      <c r="F205" s="66" t="n"/>
      <c r="G205" s="66" t="n"/>
    </row>
    <row r="206" ht="20" customHeight="1">
      <c r="B206" s="53" t="n"/>
      <c r="C206" s="54" t="n"/>
      <c r="D206" s="54" t="n"/>
      <c r="E206" s="55" t="n"/>
      <c r="F206" s="54" t="n"/>
      <c r="G206" s="54" t="n"/>
    </row>
    <row r="207" ht="20" customHeight="1">
      <c r="B207" s="65" t="n"/>
      <c r="C207" s="66" t="n"/>
      <c r="D207" s="66" t="n"/>
      <c r="E207" s="67" t="n"/>
      <c r="F207" s="66" t="n"/>
      <c r="G207" s="66" t="n"/>
    </row>
    <row r="208" ht="20" customHeight="1">
      <c r="B208" s="53" t="n"/>
      <c r="C208" s="54" t="n"/>
      <c r="D208" s="54" t="n"/>
      <c r="E208" s="55" t="n"/>
      <c r="F208" s="54" t="n"/>
      <c r="G208" s="54" t="n"/>
    </row>
    <row r="209" ht="20" customHeight="1">
      <c r="B209" s="65" t="n"/>
      <c r="C209" s="66" t="n"/>
      <c r="D209" s="66" t="n"/>
      <c r="E209" s="67" t="n"/>
      <c r="F209" s="66" t="n"/>
      <c r="G209" s="66" t="n"/>
    </row>
    <row r="210" ht="20" customHeight="1">
      <c r="B210" s="53" t="n"/>
      <c r="C210" s="54" t="n"/>
      <c r="D210" s="54" t="n"/>
      <c r="E210" s="55" t="n"/>
      <c r="F210" s="54" t="n"/>
      <c r="G210" s="54" t="n"/>
    </row>
    <row r="211" ht="20" customHeight="1">
      <c r="B211" s="65" t="n"/>
      <c r="C211" s="66" t="n"/>
      <c r="D211" s="66" t="n"/>
      <c r="E211" s="67" t="n"/>
      <c r="F211" s="66" t="n"/>
      <c r="G211" s="66" t="n"/>
    </row>
  </sheetData>
  <mergeCells count="4">
    <mergeCell ref="B3:G3"/>
    <mergeCell ref="E2:G2"/>
    <mergeCell ref="B2:D2"/>
    <mergeCell ref="B1:G1"/>
  </mergeCells>
  <dataValidations count="2">
    <dataValidation sqref="D5:D9999" showDropDown="0" showInputMessage="0" showErrorMessage="1" allowBlank="1" errorTitle="Invalid source" error="Please choose a source from the dropdown list." type="list">
      <formula1>"Salary,Freelance,Rental Income,Dividends,Bonus,Other Income"</formula1>
    </dataValidation>
    <dataValidation sqref="F5:F9999" showDropDown="0" showInputMessage="0" showErrorMessage="0" allowBlank="1" type="list">
      <formula1>"HDFC Bank,SBI,ICICI Bank,Axis Bank,Cash,Wallet"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6000"/>
    <outlinePr summaryBelow="1" summaryRight="1"/>
    <pageSetUpPr/>
  </sheetPr>
  <dimension ref="B1:E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4" customWidth="1" min="4" max="4"/>
    <col width="18" customWidth="1" min="5" max="5"/>
    <col width="2" customWidth="1" min="6" max="6"/>
  </cols>
  <sheetData>
    <row r="1" ht="36" customHeight="1">
      <c r="B1" s="10" t="inlineStr">
        <is>
          <t>CATEGORY ANALYSIS  |  2024  -  Auto-calculated from Expense Log</t>
        </is>
      </c>
    </row>
    <row r="2" ht="20" customHeight="1">
      <c r="B2" s="2" t="inlineStr">
        <is>
          <t>All values pull automatically from Expense Log. Do not edit this sheet.</t>
        </is>
      </c>
    </row>
    <row r="3" ht="10" customHeight="1"/>
    <row r="4" ht="22" customHeight="1">
      <c r="B4" s="19" t="inlineStr">
        <is>
          <t>Category</t>
        </is>
      </c>
      <c r="C4" s="19" t="inlineStr">
        <is>
          <t>Annual Total</t>
        </is>
      </c>
      <c r="D4" s="19" t="inlineStr">
        <is>
          <t>% of Expenses</t>
        </is>
      </c>
      <c r="E4" s="19" t="inlineStr">
        <is>
          <t>Monthly Average</t>
        </is>
      </c>
    </row>
    <row r="5" ht="22" customHeight="1">
      <c r="B5" s="7" t="inlineStr">
        <is>
          <t>Housing</t>
        </is>
      </c>
      <c r="C5" s="21">
        <f>SUMIFS('Expense Log'!$E:$E,'Expense Log'!$D:$D,"Housing",'Expense Log'!$B:$B,"&gt;="&amp;DATE(2024,1,1),'Expense Log'!$B:$B,"&lt;"&amp;DATE(2025,1,1))</f>
        <v/>
      </c>
      <c r="D5" s="68">
        <f>IF(SUMIFS('Expense Log'!$E:$E,'Expense Log'!$B:$B,"&gt;="&amp;DATE(2024,1,1),'Expense Log'!$B:$B,"&lt;"&amp;DATE(2025,1,1))=0,0,C5/SUMIFS('Expense Log'!$E:$E,'Expense Log'!$B:$B,"&gt;="&amp;DATE(2024,1,1),'Expense Log'!$B:$B,"&lt;"&amp;DATE(2025,1,1)))</f>
        <v/>
      </c>
      <c r="E5" s="21">
        <f>C5/12</f>
        <v/>
      </c>
    </row>
    <row r="6" ht="22" customHeight="1">
      <c r="B6" s="5" t="inlineStr">
        <is>
          <t>Food and Groceries</t>
        </is>
      </c>
      <c r="C6" s="24">
        <f>SUMIFS('Expense Log'!$E:$E,'Expense Log'!$D:$D,"Food and Groceries",'Expense Log'!$B:$B,"&gt;="&amp;DATE(2024,1,1),'Expense Log'!$B:$B,"&lt;"&amp;DATE(2025,1,1))</f>
        <v/>
      </c>
      <c r="D6" s="69">
        <f>IF(SUMIFS('Expense Log'!$E:$E,'Expense Log'!$B:$B,"&gt;="&amp;DATE(2024,1,1),'Expense Log'!$B:$B,"&lt;"&amp;DATE(2025,1,1))=0,0,C6/SUMIFS('Expense Log'!$E:$E,'Expense Log'!$B:$B,"&gt;="&amp;DATE(2024,1,1),'Expense Log'!$B:$B,"&lt;"&amp;DATE(2025,1,1)))</f>
        <v/>
      </c>
      <c r="E6" s="24">
        <f>C6/12</f>
        <v/>
      </c>
    </row>
    <row r="7" ht="22" customHeight="1">
      <c r="B7" s="7" t="inlineStr">
        <is>
          <t>Transport</t>
        </is>
      </c>
      <c r="C7" s="21">
        <f>SUMIFS('Expense Log'!$E:$E,'Expense Log'!$D:$D,"Transport",'Expense Log'!$B:$B,"&gt;="&amp;DATE(2024,1,1),'Expense Log'!$B:$B,"&lt;"&amp;DATE(2025,1,1))</f>
        <v/>
      </c>
      <c r="D7" s="68">
        <f>IF(SUMIFS('Expense Log'!$E:$E,'Expense Log'!$B:$B,"&gt;="&amp;DATE(2024,1,1),'Expense Log'!$B:$B,"&lt;"&amp;DATE(2025,1,1))=0,0,C7/SUMIFS('Expense Log'!$E:$E,'Expense Log'!$B:$B,"&gt;="&amp;DATE(2024,1,1),'Expense Log'!$B:$B,"&lt;"&amp;DATE(2025,1,1)))</f>
        <v/>
      </c>
      <c r="E7" s="21">
        <f>C7/12</f>
        <v/>
      </c>
    </row>
    <row r="8" ht="22" customHeight="1">
      <c r="B8" s="5" t="inlineStr">
        <is>
          <t>Health and Medical</t>
        </is>
      </c>
      <c r="C8" s="24">
        <f>SUMIFS('Expense Log'!$E:$E,'Expense Log'!$D:$D,"Health and Medical",'Expense Log'!$B:$B,"&gt;="&amp;DATE(2024,1,1),'Expense Log'!$B:$B,"&lt;"&amp;DATE(2025,1,1))</f>
        <v/>
      </c>
      <c r="D8" s="69">
        <f>IF(SUMIFS('Expense Log'!$E:$E,'Expense Log'!$B:$B,"&gt;="&amp;DATE(2024,1,1),'Expense Log'!$B:$B,"&lt;"&amp;DATE(2025,1,1))=0,0,C8/SUMIFS('Expense Log'!$E:$E,'Expense Log'!$B:$B,"&gt;="&amp;DATE(2024,1,1),'Expense Log'!$B:$B,"&lt;"&amp;DATE(2025,1,1)))</f>
        <v/>
      </c>
      <c r="E8" s="24">
        <f>C8/12</f>
        <v/>
      </c>
    </row>
    <row r="9" ht="22" customHeight="1">
      <c r="B9" s="7" t="inlineStr">
        <is>
          <t>Education</t>
        </is>
      </c>
      <c r="C9" s="21">
        <f>SUMIFS('Expense Log'!$E:$E,'Expense Log'!$D:$D,"Education",'Expense Log'!$B:$B,"&gt;="&amp;DATE(2024,1,1),'Expense Log'!$B:$B,"&lt;"&amp;DATE(2025,1,1))</f>
        <v/>
      </c>
      <c r="D9" s="68">
        <f>IF(SUMIFS('Expense Log'!$E:$E,'Expense Log'!$B:$B,"&gt;="&amp;DATE(2024,1,1),'Expense Log'!$B:$B,"&lt;"&amp;DATE(2025,1,1))=0,0,C9/SUMIFS('Expense Log'!$E:$E,'Expense Log'!$B:$B,"&gt;="&amp;DATE(2024,1,1),'Expense Log'!$B:$B,"&lt;"&amp;DATE(2025,1,1)))</f>
        <v/>
      </c>
      <c r="E9" s="21">
        <f>C9/12</f>
        <v/>
      </c>
    </row>
    <row r="10" ht="22" customHeight="1">
      <c r="B10" s="5" t="inlineStr">
        <is>
          <t>Shopping</t>
        </is>
      </c>
      <c r="C10" s="24">
        <f>SUMIFS('Expense Log'!$E:$E,'Expense Log'!$D:$D,"Shopping",'Expense Log'!$B:$B,"&gt;="&amp;DATE(2024,1,1),'Expense Log'!$B:$B,"&lt;"&amp;DATE(2025,1,1))</f>
        <v/>
      </c>
      <c r="D10" s="69">
        <f>IF(SUMIFS('Expense Log'!$E:$E,'Expense Log'!$B:$B,"&gt;="&amp;DATE(2024,1,1),'Expense Log'!$B:$B,"&lt;"&amp;DATE(2025,1,1))=0,0,C10/SUMIFS('Expense Log'!$E:$E,'Expense Log'!$B:$B,"&gt;="&amp;DATE(2024,1,1),'Expense Log'!$B:$B,"&lt;"&amp;DATE(2025,1,1)))</f>
        <v/>
      </c>
      <c r="E10" s="24">
        <f>C10/12</f>
        <v/>
      </c>
    </row>
    <row r="11" ht="22" customHeight="1">
      <c r="B11" s="7" t="inlineStr">
        <is>
          <t>Subscriptions</t>
        </is>
      </c>
      <c r="C11" s="21">
        <f>SUMIFS('Expense Log'!$E:$E,'Expense Log'!$D:$D,"Subscriptions",'Expense Log'!$B:$B,"&gt;="&amp;DATE(2024,1,1),'Expense Log'!$B:$B,"&lt;"&amp;DATE(2025,1,1))</f>
        <v/>
      </c>
      <c r="D11" s="68">
        <f>IF(SUMIFS('Expense Log'!$E:$E,'Expense Log'!$B:$B,"&gt;="&amp;DATE(2024,1,1),'Expense Log'!$B:$B,"&lt;"&amp;DATE(2025,1,1))=0,0,C11/SUMIFS('Expense Log'!$E:$E,'Expense Log'!$B:$B,"&gt;="&amp;DATE(2024,1,1),'Expense Log'!$B:$B,"&lt;"&amp;DATE(2025,1,1)))</f>
        <v/>
      </c>
      <c r="E11" s="21">
        <f>C11/12</f>
        <v/>
      </c>
    </row>
    <row r="12" ht="22" customHeight="1">
      <c r="B12" s="5" t="inlineStr">
        <is>
          <t>Entertainment</t>
        </is>
      </c>
      <c r="C12" s="24">
        <f>SUMIFS('Expense Log'!$E:$E,'Expense Log'!$D:$D,"Entertainment",'Expense Log'!$B:$B,"&gt;="&amp;DATE(2024,1,1),'Expense Log'!$B:$B,"&lt;"&amp;DATE(2025,1,1))</f>
        <v/>
      </c>
      <c r="D12" s="69">
        <f>IF(SUMIFS('Expense Log'!$E:$E,'Expense Log'!$B:$B,"&gt;="&amp;DATE(2024,1,1),'Expense Log'!$B:$B,"&lt;"&amp;DATE(2025,1,1))=0,0,C12/SUMIFS('Expense Log'!$E:$E,'Expense Log'!$B:$B,"&gt;="&amp;DATE(2024,1,1),'Expense Log'!$B:$B,"&lt;"&amp;DATE(2025,1,1)))</f>
        <v/>
      </c>
      <c r="E12" s="24">
        <f>C12/12</f>
        <v/>
      </c>
    </row>
    <row r="13" ht="22" customHeight="1">
      <c r="B13" s="7" t="inlineStr">
        <is>
          <t>Travel</t>
        </is>
      </c>
      <c r="C13" s="21">
        <f>SUMIFS('Expense Log'!$E:$E,'Expense Log'!$D:$D,"Travel",'Expense Log'!$B:$B,"&gt;="&amp;DATE(2024,1,1),'Expense Log'!$B:$B,"&lt;"&amp;DATE(2025,1,1))</f>
        <v/>
      </c>
      <c r="D13" s="68">
        <f>IF(SUMIFS('Expense Log'!$E:$E,'Expense Log'!$B:$B,"&gt;="&amp;DATE(2024,1,1),'Expense Log'!$B:$B,"&lt;"&amp;DATE(2025,1,1))=0,0,C13/SUMIFS('Expense Log'!$E:$E,'Expense Log'!$B:$B,"&gt;="&amp;DATE(2024,1,1),'Expense Log'!$B:$B,"&lt;"&amp;DATE(2025,1,1)))</f>
        <v/>
      </c>
      <c r="E13" s="21">
        <f>C13/12</f>
        <v/>
      </c>
    </row>
    <row r="14" ht="22" customHeight="1">
      <c r="B14" s="5" t="inlineStr">
        <is>
          <t>Savings and Investments</t>
        </is>
      </c>
      <c r="C14" s="24">
        <f>SUMIFS('Expense Log'!$E:$E,'Expense Log'!$D:$D,"Savings and Investments",'Expense Log'!$B:$B,"&gt;="&amp;DATE(2024,1,1),'Expense Log'!$B:$B,"&lt;"&amp;DATE(2025,1,1))</f>
        <v/>
      </c>
      <c r="D14" s="69">
        <f>IF(SUMIFS('Expense Log'!$E:$E,'Expense Log'!$B:$B,"&gt;="&amp;DATE(2024,1,1),'Expense Log'!$B:$B,"&lt;"&amp;DATE(2025,1,1))=0,0,C14/SUMIFS('Expense Log'!$E:$E,'Expense Log'!$B:$B,"&gt;="&amp;DATE(2024,1,1),'Expense Log'!$B:$B,"&lt;"&amp;DATE(2025,1,1)))</f>
        <v/>
      </c>
      <c r="E14" s="24">
        <f>C14/12</f>
        <v/>
      </c>
    </row>
    <row r="15" ht="22" customHeight="1">
      <c r="B15" s="7" t="inlineStr">
        <is>
          <t>Miscellaneous</t>
        </is>
      </c>
      <c r="C15" s="21">
        <f>SUMIFS('Expense Log'!$E:$E,'Expense Log'!$D:$D,"Miscellaneous",'Expense Log'!$B:$B,"&gt;="&amp;DATE(2024,1,1),'Expense Log'!$B:$B,"&lt;"&amp;DATE(2025,1,1))</f>
        <v/>
      </c>
      <c r="D15" s="68">
        <f>IF(SUMIFS('Expense Log'!$E:$E,'Expense Log'!$B:$B,"&gt;="&amp;DATE(2024,1,1),'Expense Log'!$B:$B,"&lt;"&amp;DATE(2025,1,1))=0,0,C15/SUMIFS('Expense Log'!$E:$E,'Expense Log'!$B:$B,"&gt;="&amp;DATE(2024,1,1),'Expense Log'!$B:$B,"&lt;"&amp;DATE(2025,1,1)))</f>
        <v/>
      </c>
      <c r="E15" s="21">
        <f>C15/12</f>
        <v/>
      </c>
    </row>
    <row r="16" ht="24" customHeight="1">
      <c r="B16" s="25" t="inlineStr">
        <is>
          <t>TOTAL</t>
        </is>
      </c>
      <c r="C16" s="26">
        <f>SUMIFS('Expense Log'!$E:$E,'Expense Log'!$B:$B,"&gt;="&amp;DATE(2024,1,1),'Expense Log'!$B:$B,"&lt;"&amp;DATE(2025,1,1))</f>
        <v/>
      </c>
      <c r="D16" s="70">
        <f>1</f>
        <v/>
      </c>
      <c r="E16" s="26">
        <f>C16/12</f>
        <v/>
      </c>
    </row>
    <row r="17" ht="12" customHeight="1"/>
  </sheetData>
  <mergeCells count="2">
    <mergeCell ref="B1:E1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B1:I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2" customWidth="1" min="6" max="6"/>
    <col width="14" customWidth="1" min="7" max="7"/>
    <col width="16" customWidth="1" min="8" max="8"/>
    <col width="2" customWidth="1" min="9" max="9"/>
  </cols>
  <sheetData>
    <row r="1" ht="36" customHeight="1">
      <c r="B1" s="10" t="inlineStr">
        <is>
          <t>SAVINGS GOALS TRACKER</t>
        </is>
      </c>
    </row>
    <row r="2" ht="28" customHeight="1">
      <c r="B2" s="27" t="inlineStr">
        <is>
          <t>Enter goal details in white cells. Update the Saved So Far column regularly. Remaining and % Complete auto-calculate.</t>
        </is>
      </c>
    </row>
    <row r="3" ht="10" customHeight="1"/>
    <row r="4" ht="22" customHeight="1">
      <c r="B4" s="19" t="inlineStr">
        <is>
          <t>Goal Name</t>
        </is>
      </c>
      <c r="C4" s="19" t="inlineStr">
        <is>
          <t>Target Amount</t>
        </is>
      </c>
      <c r="D4" s="19" t="inlineStr">
        <is>
          <t>Saved So Far</t>
        </is>
      </c>
      <c r="E4" s="19" t="inlineStr">
        <is>
          <t>Remaining</t>
        </is>
      </c>
      <c r="F4" s="19" t="inlineStr">
        <is>
          <t>% Complete</t>
        </is>
      </c>
      <c r="G4" s="19" t="inlineStr">
        <is>
          <t>Deadline</t>
        </is>
      </c>
      <c r="H4" s="19" t="inlineStr">
        <is>
          <t>Status</t>
        </is>
      </c>
      <c r="I4" s="19" t="inlineStr">
        <is>
          <t>Priority</t>
        </is>
      </c>
    </row>
    <row r="5" ht="24" customHeight="1">
      <c r="B5" s="7" t="inlineStr">
        <is>
          <t>Emergency Fund (6 months expenses)</t>
        </is>
      </c>
      <c r="C5" s="21" t="n">
        <v>300000</v>
      </c>
      <c r="D5" s="24" t="n">
        <v>85000</v>
      </c>
      <c r="E5" s="39">
        <f>C5-D5</f>
        <v/>
      </c>
      <c r="F5" s="71">
        <f>IF(C5=0,0,D5/C5)</f>
        <v/>
      </c>
      <c r="G5" s="50" t="inlineStr">
        <is>
          <t>2024-06-30</t>
        </is>
      </c>
      <c r="H5" s="72">
        <f>IF(D5&gt;=C5,"Complete",IF(D5/C5&gt;=0.8,"Almost there",IF(D5/C5&gt;=0.5,"On track","Started")))</f>
        <v/>
      </c>
      <c r="I5" s="73" t="inlineStr">
        <is>
          <t>High</t>
        </is>
      </c>
    </row>
    <row r="6" ht="24" customHeight="1">
      <c r="B6" s="5" t="inlineStr">
        <is>
          <t>House Down Payment</t>
        </is>
      </c>
      <c r="C6" s="24" t="n">
        <v>1500000</v>
      </c>
      <c r="D6" s="24" t="n">
        <v>250000</v>
      </c>
      <c r="E6" s="39">
        <f>C6-D6</f>
        <v/>
      </c>
      <c r="F6" s="71">
        <f>IF(C6=0,0,D6/C6)</f>
        <v/>
      </c>
      <c r="G6" s="52" t="inlineStr">
        <is>
          <t>2026-12-31</t>
        </is>
      </c>
      <c r="H6" s="74">
        <f>IF(D6&gt;=C6,"Complete",IF(D6/C6&gt;=0.8,"Almost there",IF(D6/C6&gt;=0.5,"On track","Started")))</f>
        <v/>
      </c>
      <c r="I6" s="73" t="inlineStr">
        <is>
          <t>High</t>
        </is>
      </c>
    </row>
    <row r="7" ht="24" customHeight="1">
      <c r="B7" s="7" t="inlineStr">
        <is>
          <t>New Car Fund</t>
        </is>
      </c>
      <c r="C7" s="21" t="n">
        <v>600000</v>
      </c>
      <c r="D7" s="24" t="n">
        <v>120000</v>
      </c>
      <c r="E7" s="39">
        <f>C7-D7</f>
        <v/>
      </c>
      <c r="F7" s="71">
        <f>IF(C7=0,0,D7/C7)</f>
        <v/>
      </c>
      <c r="G7" s="50" t="inlineStr">
        <is>
          <t>2025-06-30</t>
        </is>
      </c>
      <c r="H7" s="72">
        <f>IF(D7&gt;=C7,"Complete",IF(D7/C7&gt;=0.8,"Almost there",IF(D7/C7&gt;=0.5,"On track","Started")))</f>
        <v/>
      </c>
      <c r="I7" s="50" t="inlineStr">
        <is>
          <t>Medium</t>
        </is>
      </c>
    </row>
    <row r="8" ht="24" customHeight="1">
      <c r="B8" s="5" t="inlineStr">
        <is>
          <t>Europe Trip</t>
        </is>
      </c>
      <c r="C8" s="24" t="n">
        <v>150000</v>
      </c>
      <c r="D8" s="24" t="n">
        <v>45000</v>
      </c>
      <c r="E8" s="39">
        <f>C8-D8</f>
        <v/>
      </c>
      <c r="F8" s="71">
        <f>IF(C8=0,0,D8/C8)</f>
        <v/>
      </c>
      <c r="G8" s="52" t="inlineStr">
        <is>
          <t>2024-12-31</t>
        </is>
      </c>
      <c r="H8" s="74">
        <f>IF(D8&gt;=C8,"Complete",IF(D8/C8&gt;=0.8,"Almost there",IF(D8/C8&gt;=0.5,"On track","Started")))</f>
        <v/>
      </c>
      <c r="I8" s="52" t="inlineStr">
        <is>
          <t>Medium</t>
        </is>
      </c>
    </row>
    <row r="9" ht="24" customHeight="1">
      <c r="B9" s="7" t="inlineStr">
        <is>
          <t>Higher Education</t>
        </is>
      </c>
      <c r="C9" s="21" t="n">
        <v>500000</v>
      </c>
      <c r="D9" s="24" t="n">
        <v>80000</v>
      </c>
      <c r="E9" s="39">
        <f>C9-D9</f>
        <v/>
      </c>
      <c r="F9" s="71">
        <f>IF(C9=0,0,D9/C9)</f>
        <v/>
      </c>
      <c r="G9" s="50" t="inlineStr">
        <is>
          <t>2026-06-30</t>
        </is>
      </c>
      <c r="H9" s="72">
        <f>IF(D9&gt;=C9,"Complete",IF(D9/C9&gt;=0.8,"Almost there",IF(D9/C9&gt;=0.5,"On track","Started")))</f>
        <v/>
      </c>
      <c r="I9" s="73" t="inlineStr">
        <is>
          <t>High</t>
        </is>
      </c>
    </row>
    <row r="10" ht="24" customHeight="1">
      <c r="B10" s="5" t="inlineStr">
        <is>
          <t>New Laptop</t>
        </is>
      </c>
      <c r="C10" s="24" t="n">
        <v>80000</v>
      </c>
      <c r="D10" s="24" t="n">
        <v>30000</v>
      </c>
      <c r="E10" s="39">
        <f>C10-D10</f>
        <v/>
      </c>
      <c r="F10" s="71">
        <f>IF(C10=0,0,D10/C10)</f>
        <v/>
      </c>
      <c r="G10" s="52" t="inlineStr">
        <is>
          <t>2024-03-31</t>
        </is>
      </c>
      <c r="H10" s="74">
        <f>IF(D10&gt;=C10,"Complete",IF(D10/C10&gt;=0.8,"Almost there",IF(D10/C10&gt;=0.5,"On track","Started")))</f>
        <v/>
      </c>
      <c r="I10" s="52" t="inlineStr">
        <is>
          <t>Low</t>
        </is>
      </c>
    </row>
    <row r="11" ht="24" customHeight="1">
      <c r="B11" s="7" t="inlineStr">
        <is>
          <t>Investment Portfolio</t>
        </is>
      </c>
      <c r="C11" s="21" t="n">
        <v>1000000</v>
      </c>
      <c r="D11" s="24" t="n">
        <v>180000</v>
      </c>
      <c r="E11" s="39">
        <f>C11-D11</f>
        <v/>
      </c>
      <c r="F11" s="71">
        <f>IF(C11=0,0,D11/C11)</f>
        <v/>
      </c>
      <c r="G11" s="50" t="inlineStr">
        <is>
          <t>2027-12-31</t>
        </is>
      </c>
      <c r="H11" s="72">
        <f>IF(D11&gt;=C11,"Complete",IF(D11/C11&gt;=0.8,"Almost there",IF(D11/C11&gt;=0.5,"On track","Started")))</f>
        <v/>
      </c>
      <c r="I11" s="50" t="inlineStr">
        <is>
          <t>Medium</t>
        </is>
      </c>
    </row>
    <row r="12" ht="24" customHeight="1">
      <c r="B12" s="5" t="inlineStr">
        <is>
          <t>Wedding Fund</t>
        </is>
      </c>
      <c r="C12" s="24" t="n">
        <v>400000</v>
      </c>
      <c r="D12" s="24" t="n">
        <v>60000</v>
      </c>
      <c r="E12" s="39">
        <f>C12-D12</f>
        <v/>
      </c>
      <c r="F12" s="71">
        <f>IF(C12=0,0,D12/C12)</f>
        <v/>
      </c>
      <c r="G12" s="52" t="inlineStr">
        <is>
          <t>2025-12-31</t>
        </is>
      </c>
      <c r="H12" s="74">
        <f>IF(D12&gt;=C12,"Complete",IF(D12/C12&gt;=0.8,"Almost there",IF(D12/C12&gt;=0.5,"On track","Started")))</f>
        <v/>
      </c>
      <c r="I12" s="52" t="inlineStr">
        <is>
          <t>Medium</t>
        </is>
      </c>
    </row>
    <row r="13" ht="24" customHeight="1">
      <c r="B13" s="7" t="inlineStr">
        <is>
          <t>New Phone</t>
        </is>
      </c>
      <c r="C13" s="21" t="n">
        <v>50000</v>
      </c>
      <c r="D13" s="24" t="n">
        <v>50000</v>
      </c>
      <c r="E13" s="39">
        <f>C13-D13</f>
        <v/>
      </c>
      <c r="F13" s="71">
        <f>IF(C13=0,0,D13/C13)</f>
        <v/>
      </c>
      <c r="G13" s="50" t="inlineStr">
        <is>
          <t>2024-01-31</t>
        </is>
      </c>
      <c r="H13" s="72">
        <f>IF(D13&gt;=C13,"Complete",IF(D13/C13&gt;=0.8,"Almost there",IF(D13/C13&gt;=0.5,"On track","Started")))</f>
        <v/>
      </c>
      <c r="I13" s="50" t="inlineStr">
        <is>
          <t>Low</t>
        </is>
      </c>
    </row>
    <row r="14" ht="24" customHeight="1">
      <c r="B14" s="5" t="inlineStr">
        <is>
          <t>Retirement Corpus</t>
        </is>
      </c>
      <c r="C14" s="24" t="n">
        <v>10000000</v>
      </c>
      <c r="D14" s="24" t="n">
        <v>500000</v>
      </c>
      <c r="E14" s="39">
        <f>C14-D14</f>
        <v/>
      </c>
      <c r="F14" s="71">
        <f>IF(C14=0,0,D14/C14)</f>
        <v/>
      </c>
      <c r="G14" s="52" t="inlineStr">
        <is>
          <t>2045-12-31</t>
        </is>
      </c>
      <c r="H14" s="74">
        <f>IF(D14&gt;=C14,"Complete",IF(D14/C14&gt;=0.8,"Almost there",IF(D14/C14&gt;=0.5,"On track","Started")))</f>
        <v/>
      </c>
      <c r="I14" s="73" t="inlineStr">
        <is>
          <t>High</t>
        </is>
      </c>
    </row>
    <row r="15" ht="24" customHeight="1">
      <c r="B15" s="25" t="inlineStr">
        <is>
          <t>TOTAL</t>
        </is>
      </c>
      <c r="C15" s="26">
        <f>SUM(C5:C14)</f>
        <v/>
      </c>
      <c r="D15" s="26">
        <f>SUM(D5:D14)</f>
        <v/>
      </c>
      <c r="E15" s="26">
        <f>SUM(E5:E14)</f>
        <v/>
      </c>
      <c r="F15" s="70">
        <f>IF(C15=0,0,D15/C15)</f>
        <v/>
      </c>
      <c r="G15" s="75" t="inlineStr"/>
      <c r="H15" s="75" t="inlineStr"/>
      <c r="I15" s="75" t="inlineStr"/>
    </row>
  </sheetData>
  <mergeCells count="2">
    <mergeCell ref="B1:H1"/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8" customWidth="1" min="4" max="4"/>
    <col width="18" customWidth="1" min="5" max="5"/>
    <col width="14" customWidth="1" min="6" max="6"/>
    <col width="20" customWidth="1" min="7" max="7"/>
    <col width="2" customWidth="1" min="8" max="8"/>
  </cols>
  <sheetData>
    <row r="1" ht="36" customHeight="1">
      <c r="B1" s="10" t="inlineStr">
        <is>
          <t>ANNUAL OVERVIEW  |  2024  -  Auto-calculated from logs</t>
        </is>
      </c>
    </row>
    <row r="2" ht="20" customHeight="1">
      <c r="B2" s="2" t="inlineStr">
        <is>
          <t>All values come from Expense Log and Income Log via SUMIFS. No manual entry needed.</t>
        </is>
      </c>
    </row>
    <row r="3" ht="10" customHeight="1"/>
    <row r="4" ht="22" customHeight="1">
      <c r="B4" s="19" t="inlineStr">
        <is>
          <t>Month</t>
        </is>
      </c>
      <c r="C4" s="19" t="inlineStr">
        <is>
          <t>Income</t>
        </is>
      </c>
      <c r="D4" s="19" t="inlineStr">
        <is>
          <t>Expenses</t>
        </is>
      </c>
      <c r="E4" s="19" t="inlineStr">
        <is>
          <t>Net Savings</t>
        </is>
      </c>
      <c r="F4" s="19" t="inlineStr">
        <is>
          <t>Savings Rate</t>
        </is>
      </c>
      <c r="G4" s="19" t="inlineStr">
        <is>
          <t>Running Balance</t>
        </is>
      </c>
    </row>
    <row r="5" ht="22" customHeight="1">
      <c r="B5" s="20" t="inlineStr">
        <is>
          <t>January</t>
        </is>
      </c>
      <c r="C5" s="21">
        <f>SUMIFS('Income Log'!$E:$E,'Income Log'!$B:$B,"&gt;="&amp;DATE(2024,1,1),'Income Log'!$B:$B,"&lt;"&amp;DATE(2024,2,1))</f>
        <v/>
      </c>
      <c r="D5" s="21">
        <f>SUMIFS('Expense Log'!$E:$E,'Expense Log'!$B:$B,"&gt;="&amp;DATE(2024,1,1),'Expense Log'!$B:$B,"&lt;"&amp;DATE(2024,2,1))</f>
        <v/>
      </c>
      <c r="E5" s="22">
        <f>C5-D5</f>
        <v/>
      </c>
      <c r="F5" s="68">
        <f>IF(C5=0,0,E5/C5)</f>
        <v/>
      </c>
      <c r="G5" s="43">
        <f>E5</f>
        <v/>
      </c>
    </row>
    <row r="6" ht="22" customHeight="1">
      <c r="B6" s="23" t="inlineStr">
        <is>
          <t>February</t>
        </is>
      </c>
      <c r="C6" s="24">
        <f>SUMIFS('Income Log'!$E:$E,'Income Log'!$B:$B,"&gt;="&amp;DATE(2024,2,1),'Income Log'!$B:$B,"&lt;"&amp;DATE(2024,3,1))</f>
        <v/>
      </c>
      <c r="D6" s="24">
        <f>SUMIFS('Expense Log'!$E:$E,'Expense Log'!$B:$B,"&gt;="&amp;DATE(2024,2,1),'Expense Log'!$B:$B,"&lt;"&amp;DATE(2024,3,1))</f>
        <v/>
      </c>
      <c r="E6" s="22">
        <f>C6-D6</f>
        <v/>
      </c>
      <c r="F6" s="69">
        <f>IF(C6=0,0,E6/C6)</f>
        <v/>
      </c>
      <c r="G6" s="43">
        <f>G5+E6</f>
        <v/>
      </c>
    </row>
    <row r="7" ht="22" customHeight="1">
      <c r="B7" s="20" t="inlineStr">
        <is>
          <t>March</t>
        </is>
      </c>
      <c r="C7" s="21">
        <f>SUMIFS('Income Log'!$E:$E,'Income Log'!$B:$B,"&gt;="&amp;DATE(2024,3,1),'Income Log'!$B:$B,"&lt;"&amp;DATE(2024,4,1))</f>
        <v/>
      </c>
      <c r="D7" s="21">
        <f>SUMIFS('Expense Log'!$E:$E,'Expense Log'!$B:$B,"&gt;="&amp;DATE(2024,3,1),'Expense Log'!$B:$B,"&lt;"&amp;DATE(2024,4,1))</f>
        <v/>
      </c>
      <c r="E7" s="22">
        <f>C7-D7</f>
        <v/>
      </c>
      <c r="F7" s="68">
        <f>IF(C7=0,0,E7/C7)</f>
        <v/>
      </c>
      <c r="G7" s="43">
        <f>G6+E7</f>
        <v/>
      </c>
    </row>
    <row r="8" ht="22" customHeight="1">
      <c r="B8" s="23" t="inlineStr">
        <is>
          <t>April</t>
        </is>
      </c>
      <c r="C8" s="24">
        <f>SUMIFS('Income Log'!$E:$E,'Income Log'!$B:$B,"&gt;="&amp;DATE(2024,4,1),'Income Log'!$B:$B,"&lt;"&amp;DATE(2024,5,1))</f>
        <v/>
      </c>
      <c r="D8" s="24">
        <f>SUMIFS('Expense Log'!$E:$E,'Expense Log'!$B:$B,"&gt;="&amp;DATE(2024,4,1),'Expense Log'!$B:$B,"&lt;"&amp;DATE(2024,5,1))</f>
        <v/>
      </c>
      <c r="E8" s="22">
        <f>C8-D8</f>
        <v/>
      </c>
      <c r="F8" s="69">
        <f>IF(C8=0,0,E8/C8)</f>
        <v/>
      </c>
      <c r="G8" s="43">
        <f>G7+E8</f>
        <v/>
      </c>
    </row>
    <row r="9" ht="22" customHeight="1">
      <c r="B9" s="20" t="inlineStr">
        <is>
          <t>May</t>
        </is>
      </c>
      <c r="C9" s="21">
        <f>SUMIFS('Income Log'!$E:$E,'Income Log'!$B:$B,"&gt;="&amp;DATE(2024,5,1),'Income Log'!$B:$B,"&lt;"&amp;DATE(2024,6,1))</f>
        <v/>
      </c>
      <c r="D9" s="21">
        <f>SUMIFS('Expense Log'!$E:$E,'Expense Log'!$B:$B,"&gt;="&amp;DATE(2024,5,1),'Expense Log'!$B:$B,"&lt;"&amp;DATE(2024,6,1))</f>
        <v/>
      </c>
      <c r="E9" s="22">
        <f>C9-D9</f>
        <v/>
      </c>
      <c r="F9" s="68">
        <f>IF(C9=0,0,E9/C9)</f>
        <v/>
      </c>
      <c r="G9" s="43">
        <f>G8+E9</f>
        <v/>
      </c>
    </row>
    <row r="10" ht="22" customHeight="1">
      <c r="B10" s="23" t="inlineStr">
        <is>
          <t>June</t>
        </is>
      </c>
      <c r="C10" s="24">
        <f>SUMIFS('Income Log'!$E:$E,'Income Log'!$B:$B,"&gt;="&amp;DATE(2024,6,1),'Income Log'!$B:$B,"&lt;"&amp;DATE(2024,7,1))</f>
        <v/>
      </c>
      <c r="D10" s="24">
        <f>SUMIFS('Expense Log'!$E:$E,'Expense Log'!$B:$B,"&gt;="&amp;DATE(2024,6,1),'Expense Log'!$B:$B,"&lt;"&amp;DATE(2024,7,1))</f>
        <v/>
      </c>
      <c r="E10" s="22">
        <f>C10-D10</f>
        <v/>
      </c>
      <c r="F10" s="69">
        <f>IF(C10=0,0,E10/C10)</f>
        <v/>
      </c>
      <c r="G10" s="43">
        <f>G9+E10</f>
        <v/>
      </c>
    </row>
    <row r="11" ht="22" customHeight="1">
      <c r="B11" s="20" t="inlineStr">
        <is>
          <t>July</t>
        </is>
      </c>
      <c r="C11" s="21">
        <f>SUMIFS('Income Log'!$E:$E,'Income Log'!$B:$B,"&gt;="&amp;DATE(2024,7,1),'Income Log'!$B:$B,"&lt;"&amp;DATE(2024,8,1))</f>
        <v/>
      </c>
      <c r="D11" s="21">
        <f>SUMIFS('Expense Log'!$E:$E,'Expense Log'!$B:$B,"&gt;="&amp;DATE(2024,7,1),'Expense Log'!$B:$B,"&lt;"&amp;DATE(2024,8,1))</f>
        <v/>
      </c>
      <c r="E11" s="22">
        <f>C11-D11</f>
        <v/>
      </c>
      <c r="F11" s="68">
        <f>IF(C11=0,0,E11/C11)</f>
        <v/>
      </c>
      <c r="G11" s="43">
        <f>G10+E11</f>
        <v/>
      </c>
    </row>
    <row r="12" ht="22" customHeight="1">
      <c r="B12" s="23" t="inlineStr">
        <is>
          <t>August</t>
        </is>
      </c>
      <c r="C12" s="24">
        <f>SUMIFS('Income Log'!$E:$E,'Income Log'!$B:$B,"&gt;="&amp;DATE(2024,8,1),'Income Log'!$B:$B,"&lt;"&amp;DATE(2024,9,1))</f>
        <v/>
      </c>
      <c r="D12" s="24">
        <f>SUMIFS('Expense Log'!$E:$E,'Expense Log'!$B:$B,"&gt;="&amp;DATE(2024,8,1),'Expense Log'!$B:$B,"&lt;"&amp;DATE(2024,9,1))</f>
        <v/>
      </c>
      <c r="E12" s="22">
        <f>C12-D12</f>
        <v/>
      </c>
      <c r="F12" s="69">
        <f>IF(C12=0,0,E12/C12)</f>
        <v/>
      </c>
      <c r="G12" s="43">
        <f>G11+E12</f>
        <v/>
      </c>
    </row>
    <row r="13" ht="22" customHeight="1">
      <c r="B13" s="20" t="inlineStr">
        <is>
          <t>September</t>
        </is>
      </c>
      <c r="C13" s="21">
        <f>SUMIFS('Income Log'!$E:$E,'Income Log'!$B:$B,"&gt;="&amp;DATE(2024,9,1),'Income Log'!$B:$B,"&lt;"&amp;DATE(2024,10,1))</f>
        <v/>
      </c>
      <c r="D13" s="21">
        <f>SUMIFS('Expense Log'!$E:$E,'Expense Log'!$B:$B,"&gt;="&amp;DATE(2024,9,1),'Expense Log'!$B:$B,"&lt;"&amp;DATE(2024,10,1))</f>
        <v/>
      </c>
      <c r="E13" s="22">
        <f>C13-D13</f>
        <v/>
      </c>
      <c r="F13" s="68">
        <f>IF(C13=0,0,E13/C13)</f>
        <v/>
      </c>
      <c r="G13" s="43">
        <f>G12+E13</f>
        <v/>
      </c>
    </row>
    <row r="14" ht="22" customHeight="1">
      <c r="B14" s="23" t="inlineStr">
        <is>
          <t>October</t>
        </is>
      </c>
      <c r="C14" s="24">
        <f>SUMIFS('Income Log'!$E:$E,'Income Log'!$B:$B,"&gt;="&amp;DATE(2024,10,1),'Income Log'!$B:$B,"&lt;"&amp;DATE(2024,11,1))</f>
        <v/>
      </c>
      <c r="D14" s="24">
        <f>SUMIFS('Expense Log'!$E:$E,'Expense Log'!$B:$B,"&gt;="&amp;DATE(2024,10,1),'Expense Log'!$B:$B,"&lt;"&amp;DATE(2024,11,1))</f>
        <v/>
      </c>
      <c r="E14" s="22">
        <f>C14-D14</f>
        <v/>
      </c>
      <c r="F14" s="69">
        <f>IF(C14=0,0,E14/C14)</f>
        <v/>
      </c>
      <c r="G14" s="43">
        <f>G13+E14</f>
        <v/>
      </c>
    </row>
    <row r="15" ht="22" customHeight="1">
      <c r="B15" s="20" t="inlineStr">
        <is>
          <t>November</t>
        </is>
      </c>
      <c r="C15" s="21">
        <f>SUMIFS('Income Log'!$E:$E,'Income Log'!$B:$B,"&gt;="&amp;DATE(2024,11,1),'Income Log'!$B:$B,"&lt;"&amp;DATE(2024,12,1))</f>
        <v/>
      </c>
      <c r="D15" s="21">
        <f>SUMIFS('Expense Log'!$E:$E,'Expense Log'!$B:$B,"&gt;="&amp;DATE(2024,11,1),'Expense Log'!$B:$B,"&lt;"&amp;DATE(2024,12,1))</f>
        <v/>
      </c>
      <c r="E15" s="22">
        <f>C15-D15</f>
        <v/>
      </c>
      <c r="F15" s="68">
        <f>IF(C15=0,0,E15/C15)</f>
        <v/>
      </c>
      <c r="G15" s="43">
        <f>G14+E15</f>
        <v/>
      </c>
    </row>
    <row r="16" ht="22" customHeight="1">
      <c r="B16" s="23" t="inlineStr">
        <is>
          <t>December</t>
        </is>
      </c>
      <c r="C16" s="24">
        <f>SUMIFS('Income Log'!$E:$E,'Income Log'!$B:$B,"&gt;="&amp;DATE(2024,12,1),'Income Log'!$B:$B,"&lt;"&amp;DATE(2025,1,1))</f>
        <v/>
      </c>
      <c r="D16" s="24">
        <f>SUMIFS('Expense Log'!$E:$E,'Expense Log'!$B:$B,"&gt;="&amp;DATE(2024,12,1),'Expense Log'!$B:$B,"&lt;"&amp;DATE(2025,1,1))</f>
        <v/>
      </c>
      <c r="E16" s="22">
        <f>C16-D16</f>
        <v/>
      </c>
      <c r="F16" s="69">
        <f>IF(C16=0,0,E16/C16)</f>
        <v/>
      </c>
      <c r="G16" s="43">
        <f>G15+E16</f>
        <v/>
      </c>
    </row>
    <row r="17" ht="24" customHeight="1">
      <c r="B17" s="25" t="inlineStr">
        <is>
          <t>ANNUAL TOTAL</t>
        </is>
      </c>
      <c r="C17" s="26">
        <f>SUM(C5:C16)</f>
        <v/>
      </c>
      <c r="D17" s="26">
        <f>SUM(D5:D16)</f>
        <v/>
      </c>
      <c r="E17" s="26">
        <f>SUM(E5:E16)</f>
        <v/>
      </c>
      <c r="F17" s="70">
        <f>IF(C17=0,0,E17/C17)</f>
        <v/>
      </c>
      <c r="G17" s="26">
        <f>G16</f>
        <v/>
      </c>
    </row>
    <row r="18" ht="12" customHeight="1"/>
    <row r="19" ht="24" customHeight="1">
      <c r="B19" s="4" t="inlineStr">
        <is>
          <t xml:space="preserve">  KEY STATISTICS</t>
        </is>
      </c>
    </row>
    <row r="20" ht="20" customHeight="1">
      <c r="B20" s="19" t="inlineStr">
        <is>
          <t>Metric</t>
        </is>
      </c>
      <c r="C20" s="19" t="inlineStr">
        <is>
          <t>Value</t>
        </is>
      </c>
    </row>
    <row r="21" ht="22" customHeight="1">
      <c r="B21" s="7" t="inlineStr">
        <is>
          <t>Best month (highest savings)</t>
        </is>
      </c>
      <c r="C21" s="76">
        <f>INDEX(B5:B16,MATCH(MAX(E5:E16),E5:E16,0))</f>
        <v/>
      </c>
    </row>
    <row r="22" ht="22" customHeight="1">
      <c r="B22" s="5" t="inlineStr">
        <is>
          <t>Worst month (lowest savings)</t>
        </is>
      </c>
      <c r="C22" s="76">
        <f>INDEX(B5:B16,MATCH(MIN(E5:E16),E5:E16,0))</f>
        <v/>
      </c>
    </row>
    <row r="23" ht="22" customHeight="1">
      <c r="B23" s="7" t="inlineStr">
        <is>
          <t>Average monthly income</t>
        </is>
      </c>
      <c r="C23" s="22">
        <f>AVERAGE(C5:C16)</f>
        <v/>
      </c>
    </row>
    <row r="24" ht="22" customHeight="1">
      <c r="B24" s="5" t="inlineStr">
        <is>
          <t>Average monthly expenses</t>
        </is>
      </c>
      <c r="C24" s="22">
        <f>AVERAGE(D5:D16)</f>
        <v/>
      </c>
    </row>
    <row r="25" ht="22" customHeight="1">
      <c r="B25" s="7" t="inlineStr">
        <is>
          <t>Average monthly savings</t>
        </is>
      </c>
      <c r="C25" s="22">
        <f>AVERAGE(E5:E16)</f>
        <v/>
      </c>
    </row>
    <row r="26" ht="22" customHeight="1">
      <c r="B26" s="5" t="inlineStr">
        <is>
          <t>Overall savings rate</t>
        </is>
      </c>
      <c r="C26" s="71">
        <f>IF(C17=0,0,E17/C17)</f>
        <v/>
      </c>
    </row>
    <row r="27" ht="12" customHeight="1"/>
  </sheetData>
  <mergeCells count="9">
    <mergeCell ref="B2:G2"/>
    <mergeCell ref="B19:G19"/>
    <mergeCell ref="C21:G21"/>
    <mergeCell ref="C24:G24"/>
    <mergeCell ref="B1:G1"/>
    <mergeCell ref="C25:G25"/>
    <mergeCell ref="C23:G23"/>
    <mergeCell ref="C22:G22"/>
    <mergeCell ref="C26:G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2026-06-18T09:07:57Z</dcterms:created>
  <dcterms:modified xmlns:dcterms="http://purl.org/dc/terms/" xmlns:xsi="http://www.w3.org/2001/XMLSchema-instance" xsi:type="dcterms:W3CDTF">2026-06-18T09:07:57Z</dcterms:modified>
</cp:coreProperties>
</file>